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/>
  <xr:revisionPtr revIDLastSave="0" documentId="8_{FC7B621A-313C-4E21-B90B-3B6E0FA1858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1" l="1"/>
  <c r="D34" i="1"/>
  <c r="C34" i="1"/>
  <c r="B34" i="1"/>
  <c r="E39" i="1"/>
  <c r="E38" i="1"/>
  <c r="D33" i="1"/>
  <c r="E33" i="1" s="1"/>
  <c r="D31" i="1"/>
  <c r="E31" i="1" s="1"/>
  <c r="D32" i="1"/>
  <c r="E32" i="1" s="1"/>
  <c r="D30" i="1"/>
  <c r="E30" i="1" s="1"/>
  <c r="D29" i="1"/>
  <c r="E29" i="1" s="1"/>
  <c r="E24" i="1"/>
  <c r="E23" i="1"/>
  <c r="E22" i="1"/>
  <c r="E21" i="1"/>
</calcChain>
</file>

<file path=xl/sharedStrings.xml><?xml version="1.0" encoding="utf-8"?>
<sst xmlns="http://schemas.openxmlformats.org/spreadsheetml/2006/main" count="60" uniqueCount="39">
  <si>
    <t>{ Byte &amp; Bite } : Data Analytics &amp; Menu Management</t>
  </si>
  <si>
    <t>Menu .</t>
  </si>
  <si>
    <t>Item ID</t>
  </si>
  <si>
    <t>Item Name</t>
  </si>
  <si>
    <t>Category</t>
  </si>
  <si>
    <t>Price (Rs.)</t>
  </si>
  <si>
    <t>Byte Fried Rice</t>
  </si>
  <si>
    <t>Popular Items</t>
  </si>
  <si>
    <t>Firewall Wings</t>
  </si>
  <si>
    <t>Code Fries</t>
  </si>
  <si>
    <t>Stack Overflow Burger</t>
  </si>
  <si>
    <t>Debugger Burger</t>
  </si>
  <si>
    <t>Byte Size Donuts</t>
  </si>
  <si>
    <t>Desserts</t>
  </si>
  <si>
    <t>Cookie.exe</t>
  </si>
  <si>
    <t>Java Shake</t>
  </si>
  <si>
    <t>Beverages</t>
  </si>
  <si>
    <t>Binary Mint Mojito</t>
  </si>
  <si>
    <t>Programmer Combo</t>
  </si>
  <si>
    <t>Surprise Deals</t>
  </si>
  <si>
    <t>Student Combo</t>
  </si>
  <si>
    <t>Orders .</t>
  </si>
  <si>
    <t>Order ID</t>
  </si>
  <si>
    <t>Quantity</t>
  </si>
  <si>
    <t>Total</t>
  </si>
  <si>
    <t>Profit_Calculation .</t>
  </si>
  <si>
    <t>Cost Price (Rs.)</t>
  </si>
  <si>
    <t>Selling Price (Rs.)</t>
  </si>
  <si>
    <t>Profit</t>
  </si>
  <si>
    <t>Profit %</t>
  </si>
  <si>
    <t>Average</t>
  </si>
  <si>
    <t>Combo_Deals .</t>
  </si>
  <si>
    <t>Combo Name</t>
  </si>
  <si>
    <t>Items Included</t>
  </si>
  <si>
    <t>Original Price</t>
  </si>
  <si>
    <t>Discount %</t>
  </si>
  <si>
    <t>Final Price</t>
  </si>
  <si>
    <t>Burger + Fries + Shake</t>
  </si>
  <si>
    <t>Burger + Fries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</si>
</sst>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rgb="FF000000"/>
      <name val="Aptos Narrow"/>
      <scheme val="minor"/>
    </font>
    <font>
      <b/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9" fontId="0" fillId="0" borderId="1" xfId="0" applyNumberFormat="1" applyBorder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/>
    <xf numFmtId="0" fontId="2" fillId="2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Menu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Sheet1!$D$4:$D$5</c:f>
              <c:strCache>
                <c:ptCount val="2"/>
                <c:pt idx="0">
                  <c:v>Menu .</c:v>
                </c:pt>
                <c:pt idx="1">
                  <c:v>Price (Rs.)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multiLvlStrRef>
              <c:f>Sheet1!$A$6:$C$16</c:f>
              <c:multiLvlStrCache>
                <c:ptCount val="11"/>
                <c:lvl>
                  <c:pt idx="0">
                    <c:v>Popular Items</c:v>
                  </c:pt>
                  <c:pt idx="1">
                    <c:v>Popular Items</c:v>
                  </c:pt>
                  <c:pt idx="2">
                    <c:v>Popular Items</c:v>
                  </c:pt>
                  <c:pt idx="3">
                    <c:v>Popular Items</c:v>
                  </c:pt>
                  <c:pt idx="4">
                    <c:v>Popular Items</c:v>
                  </c:pt>
                  <c:pt idx="5">
                    <c:v>Desserts</c:v>
                  </c:pt>
                  <c:pt idx="6">
                    <c:v>Desserts</c:v>
                  </c:pt>
                  <c:pt idx="7">
                    <c:v>Beverages</c:v>
                  </c:pt>
                  <c:pt idx="8">
                    <c:v>Beverages</c:v>
                  </c:pt>
                  <c:pt idx="9">
                    <c:v>Surprise Deals</c:v>
                  </c:pt>
                  <c:pt idx="10">
                    <c:v>Surprise Deals</c:v>
                  </c:pt>
                </c:lvl>
                <c:lvl>
                  <c:pt idx="0">
                    <c:v>Byte Fried Rice</c:v>
                  </c:pt>
                  <c:pt idx="1">
                    <c:v>Firewall Wings</c:v>
                  </c:pt>
                  <c:pt idx="2">
                    <c:v>Code Fries</c:v>
                  </c:pt>
                  <c:pt idx="3">
                    <c:v>Stack Overflow Burger</c:v>
                  </c:pt>
                  <c:pt idx="4">
                    <c:v>Debugger Burger</c:v>
                  </c:pt>
                  <c:pt idx="5">
                    <c:v>Byte Size Donuts</c:v>
                  </c:pt>
                  <c:pt idx="6">
                    <c:v>Cookie.exe</c:v>
                  </c:pt>
                  <c:pt idx="7">
                    <c:v>Java Shake</c:v>
                  </c:pt>
                  <c:pt idx="8">
                    <c:v>Binary Mint Mojito</c:v>
                  </c:pt>
                  <c:pt idx="9">
                    <c:v>Programmer Combo</c:v>
                  </c:pt>
                  <c:pt idx="10">
                    <c:v>Student Combo</c:v>
                  </c:pt>
                </c:lvl>
                <c:lvl>
                  <c:pt idx="0">
                    <c:v>101</c:v>
                  </c:pt>
                  <c:pt idx="1">
                    <c:v>102</c:v>
                  </c:pt>
                  <c:pt idx="2">
                    <c:v>103</c:v>
                  </c:pt>
                  <c:pt idx="3">
                    <c:v>104</c:v>
                  </c:pt>
                  <c:pt idx="4">
                    <c:v>105</c:v>
                  </c:pt>
                  <c:pt idx="5">
                    <c:v>201</c:v>
                  </c:pt>
                  <c:pt idx="6">
                    <c:v>202</c:v>
                  </c:pt>
                  <c:pt idx="7">
                    <c:v>301</c:v>
                  </c:pt>
                  <c:pt idx="8">
                    <c:v>302</c:v>
                  </c:pt>
                  <c:pt idx="9">
                    <c:v>401</c:v>
                  </c:pt>
                  <c:pt idx="10">
                    <c:v>402</c:v>
                  </c:pt>
                </c:lvl>
              </c:multiLvlStrCache>
            </c:multiLvlStrRef>
          </c:cat>
          <c:val>
            <c:numRef>
              <c:f>Sheet1!$D$6:$D$16</c:f>
              <c:numCache>
                <c:formatCode>General</c:formatCode>
                <c:ptCount val="11"/>
                <c:pt idx="0">
                  <c:v>799</c:v>
                </c:pt>
                <c:pt idx="1">
                  <c:v>1199</c:v>
                </c:pt>
                <c:pt idx="2">
                  <c:v>799</c:v>
                </c:pt>
                <c:pt idx="3">
                  <c:v>999</c:v>
                </c:pt>
                <c:pt idx="4">
                  <c:v>1599</c:v>
                </c:pt>
                <c:pt idx="5">
                  <c:v>599</c:v>
                </c:pt>
                <c:pt idx="6">
                  <c:v>399</c:v>
                </c:pt>
                <c:pt idx="7">
                  <c:v>499</c:v>
                </c:pt>
                <c:pt idx="8">
                  <c:v>599</c:v>
                </c:pt>
                <c:pt idx="9">
                  <c:v>2499</c:v>
                </c:pt>
                <c:pt idx="10">
                  <c:v>1599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77-4053-91D8-72AFDCF4F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15710472"/>
        <c:axId val="2118293512"/>
      </c:barChart>
      <c:catAx>
        <c:axId val="2115710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293512"/>
        <c:crosses val="autoZero"/>
        <c:auto val="1"/>
        <c:lblAlgn val="ctr"/>
        <c:lblOffset val="100"/>
        <c:noMultiLvlLbl val="0"/>
      </c:catAx>
      <c:valAx>
        <c:axId val="2118293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710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Combo_Deals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Sheet1!$A$38:$B$38</c:f>
              <c:strCache>
                <c:ptCount val="2"/>
                <c:pt idx="0">
                  <c:v>Programmer Combo</c:v>
                </c:pt>
                <c:pt idx="1">
                  <c:v>Burger + Fries + Shake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multiLvlStrRef>
              <c:f>Sheet1!$C$36:$E$37</c:f>
              <c:multiLvlStrCache>
                <c:ptCount val="3"/>
                <c:lvl>
                  <c:pt idx="0">
                    <c:v>Original Price</c:v>
                  </c:pt>
                  <c:pt idx="1">
                    <c:v>Discount %</c:v>
                  </c:pt>
                  <c:pt idx="2">
                    <c:v>Final Price</c:v>
                  </c:pt>
                </c:lvl>
                <c:lvl/>
              </c:multiLvlStrCache>
            </c:multiLvlStrRef>
          </c:cat>
          <c:val>
            <c:numRef>
              <c:f>Sheet1!$C$38:$E$38</c:f>
              <c:numCache>
                <c:formatCode>0%</c:formatCode>
                <c:ptCount val="3"/>
                <c:pt idx="0" formatCode="General">
                  <c:v>2899</c:v>
                </c:pt>
                <c:pt idx="1">
                  <c:v>0.14000000000000001</c:v>
                </c:pt>
                <c:pt idx="2" formatCode="General">
                  <c:v>2493.14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54-47E1-A04E-9398F8824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825607"/>
        <c:axId val="412831751"/>
      </c:barChart>
      <c:lineChart>
        <c:grouping val="standard"/>
        <c:varyColors val="0"/>
        <c:ser>
          <c:idx val="1"/>
          <c:order val="1"/>
          <c:tx>
            <c:strRef>
              <c:f>Sheet1!$A$39:$B$39</c:f>
              <c:strCache>
                <c:ptCount val="2"/>
                <c:pt idx="0">
                  <c:v>Student Combo</c:v>
                </c:pt>
                <c:pt idx="1">
                  <c:v>Burger + Fries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multiLvlStrRef>
              <c:f>Sheet1!$C$36:$E$37</c:f>
              <c:multiLvlStrCache>
                <c:ptCount val="3"/>
                <c:lvl>
                  <c:pt idx="0">
                    <c:v>Original Price</c:v>
                  </c:pt>
                  <c:pt idx="1">
                    <c:v>Discount %</c:v>
                  </c:pt>
                  <c:pt idx="2">
                    <c:v>Final Price</c:v>
                  </c:pt>
                </c:lvl>
                <c:lvl/>
              </c:multiLvlStrCache>
            </c:multiLvlStrRef>
          </c:cat>
          <c:val>
            <c:numRef>
              <c:f>Sheet1!$C$39:$E$39</c:f>
              <c:numCache>
                <c:formatCode>0%</c:formatCode>
                <c:ptCount val="3"/>
                <c:pt idx="0" formatCode="General">
                  <c:v>1799</c:v>
                </c:pt>
                <c:pt idx="1">
                  <c:v>0.11</c:v>
                </c:pt>
                <c:pt idx="2" formatCode="General">
                  <c:v>1601.11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54-47E1-A04E-9398F8824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2825607"/>
        <c:axId val="412831751"/>
      </c:lineChart>
      <c:catAx>
        <c:axId val="412825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831751"/>
        <c:crosses val="autoZero"/>
        <c:auto val="1"/>
        <c:lblAlgn val="ctr"/>
        <c:lblOffset val="100"/>
        <c:noMultiLvlLbl val="0"/>
      </c:catAx>
      <c:valAx>
        <c:axId val="412831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825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Sheet1!$C$19:$C$20</c:f>
              <c:strCache>
                <c:ptCount val="2"/>
                <c:pt idx="0">
                  <c:v>Orders .</c:v>
                </c:pt>
                <c:pt idx="1">
                  <c:v>Quantity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7AE-4AFF-A4D1-1DABE8457D5A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7AE-4AFF-A4D1-1DABE8457D5A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7AE-4AFF-A4D1-1DABE8457D5A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7AE-4AFF-A4D1-1DABE8457D5A}"/>
              </c:ext>
            </c:extLst>
          </c:dPt>
          <c:cat>
            <c:multiLvlStrRef>
              <c:f>Sheet1!$A$21:$B$24</c:f>
              <c:multiLvlStrCache>
                <c:ptCount val="4"/>
                <c:lvl>
                  <c:pt idx="0">
                    <c:v>Stack Overflow Burger</c:v>
                  </c:pt>
                  <c:pt idx="1">
                    <c:v>Code Fries</c:v>
                  </c:pt>
                  <c:pt idx="2">
                    <c:v>Java Shake</c:v>
                  </c:pt>
                  <c:pt idx="3">
                    <c:v>Cookie.exe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</c:lvl>
              </c:multiLvlStrCache>
            </c:multiLvlStrRef>
          </c:cat>
          <c:val>
            <c:numRef>
              <c:f>Sheet1!$C$21:$C$24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C3-47FB-A1EF-9E7C6296F495}"/>
            </c:ext>
          </c:extLst>
        </c:ser>
        <c:ser>
          <c:idx val="1"/>
          <c:order val="1"/>
          <c:tx>
            <c:strRef>
              <c:f>Sheet1!$D$19:$D$20</c:f>
              <c:strCache>
                <c:ptCount val="2"/>
                <c:pt idx="0">
                  <c:v>Orders .</c:v>
                </c:pt>
                <c:pt idx="1">
                  <c:v>Price (Rs.)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7AE-4AFF-A4D1-1DABE8457D5A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7AE-4AFF-A4D1-1DABE8457D5A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7AE-4AFF-A4D1-1DABE8457D5A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7AE-4AFF-A4D1-1DABE8457D5A}"/>
              </c:ext>
            </c:extLst>
          </c:dPt>
          <c:cat>
            <c:multiLvlStrRef>
              <c:f>Sheet1!$A$21:$B$24</c:f>
              <c:multiLvlStrCache>
                <c:ptCount val="4"/>
                <c:lvl>
                  <c:pt idx="0">
                    <c:v>Stack Overflow Burger</c:v>
                  </c:pt>
                  <c:pt idx="1">
                    <c:v>Code Fries</c:v>
                  </c:pt>
                  <c:pt idx="2">
                    <c:v>Java Shake</c:v>
                  </c:pt>
                  <c:pt idx="3">
                    <c:v>Cookie.exe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</c:lvl>
              </c:multiLvlStrCache>
            </c:multiLvlStrRef>
          </c:cat>
          <c:val>
            <c:numRef>
              <c:f>Sheet1!$D$21:$D$24</c:f>
              <c:numCache>
                <c:formatCode>General</c:formatCode>
                <c:ptCount val="4"/>
                <c:pt idx="0">
                  <c:v>999</c:v>
                </c:pt>
                <c:pt idx="1">
                  <c:v>799</c:v>
                </c:pt>
                <c:pt idx="2">
                  <c:v>499</c:v>
                </c:pt>
                <c:pt idx="3">
                  <c:v>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C3-47FB-A1EF-9E7C6296F495}"/>
            </c:ext>
          </c:extLst>
        </c:ser>
        <c:ser>
          <c:idx val="2"/>
          <c:order val="2"/>
          <c:tx>
            <c:strRef>
              <c:f>Sheet1!$E$19:$E$20</c:f>
              <c:strCache>
                <c:ptCount val="2"/>
                <c:pt idx="0">
                  <c:v>Orders .</c:v>
                </c:pt>
                <c:pt idx="1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7AE-4AFF-A4D1-1DABE8457D5A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7AE-4AFF-A4D1-1DABE8457D5A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7AE-4AFF-A4D1-1DABE8457D5A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7AE-4AFF-A4D1-1DABE8457D5A}"/>
              </c:ext>
            </c:extLst>
          </c:dPt>
          <c:cat>
            <c:multiLvlStrRef>
              <c:f>Sheet1!$A$21:$B$24</c:f>
              <c:multiLvlStrCache>
                <c:ptCount val="4"/>
                <c:lvl>
                  <c:pt idx="0">
                    <c:v>Stack Overflow Burger</c:v>
                  </c:pt>
                  <c:pt idx="1">
                    <c:v>Code Fries</c:v>
                  </c:pt>
                  <c:pt idx="2">
                    <c:v>Java Shake</c:v>
                  </c:pt>
                  <c:pt idx="3">
                    <c:v>Cookie.exe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</c:lvl>
              </c:multiLvlStrCache>
            </c:multiLvlStrRef>
          </c:cat>
          <c:val>
            <c:numRef>
              <c:f>Sheet1!$E$21:$E$24</c:f>
              <c:numCache>
                <c:formatCode>General</c:formatCode>
                <c:ptCount val="4"/>
                <c:pt idx="0">
                  <c:v>1998</c:v>
                </c:pt>
                <c:pt idx="1">
                  <c:v>2397</c:v>
                </c:pt>
                <c:pt idx="2">
                  <c:v>1996</c:v>
                </c:pt>
                <c:pt idx="3">
                  <c:v>1995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C3-47FB-A1EF-9E7C6296F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12</xdr:col>
      <xdr:colOff>304800</xdr:colOff>
      <xdr:row>17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D71AB35-84B7-BCA0-8C08-91E04C9F1548}"/>
            </a:ext>
            <a:ext uri="{147F2762-F138-4A5C-976F-8EAC2B608ADB}">
              <a16:predDERef xmlns:a16="http://schemas.microsoft.com/office/drawing/2014/main" pred="{73F32256-93CF-68A0-DC96-F1DA467F18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35</xdr:row>
      <xdr:rowOff>19050</xdr:rowOff>
    </xdr:from>
    <xdr:to>
      <xdr:col>13</xdr:col>
      <xdr:colOff>304800</xdr:colOff>
      <xdr:row>49</xdr:row>
      <xdr:rowOff>85725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DE18FC8-608B-13D5-6ED1-6142DB95C0C5}"/>
            </a:ext>
            <a:ext uri="{147F2762-F138-4A5C-976F-8EAC2B608ADB}">
              <a16:predDERef xmlns:a16="http://schemas.microsoft.com/office/drawing/2014/main" pred="{7D71AB35-84B7-BCA0-8C08-91E04C9F15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28575</xdr:colOff>
      <xdr:row>19</xdr:row>
      <xdr:rowOff>0</xdr:rowOff>
    </xdr:from>
    <xdr:to>
      <xdr:col>13</xdr:col>
      <xdr:colOff>333375</xdr:colOff>
      <xdr:row>33</xdr:row>
      <xdr:rowOff>66675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51F7C92-70D2-5D6C-9F10-5704AE2AAD7A}"/>
            </a:ext>
            <a:ext uri="{147F2762-F138-4A5C-976F-8EAC2B608ADB}">
              <a16:predDERef xmlns:a16="http://schemas.microsoft.com/office/drawing/2014/main" pred="{0DE18FC8-608B-13D5-6ED1-6142DB95C0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workbookViewId="0">
      <selection activeCell="E35" sqref="E35"/>
    </sheetView>
  </sheetViews>
  <sheetFormatPr defaultRowHeight="15"/>
  <cols>
    <col min="1" max="2" width="19.7109375" bestFit="1" customWidth="1"/>
    <col min="3" max="3" width="15.7109375" bestFit="1" customWidth="1"/>
    <col min="4" max="4" width="13.140625" bestFit="1" customWidth="1"/>
    <col min="5" max="5" width="13.42578125" bestFit="1" customWidth="1"/>
  </cols>
  <sheetData>
    <row r="1" spans="1:4">
      <c r="A1" s="12" t="s">
        <v>0</v>
      </c>
      <c r="B1" s="13"/>
      <c r="C1" s="13"/>
      <c r="D1" s="13"/>
    </row>
    <row r="2" spans="1:4">
      <c r="A2" s="13"/>
      <c r="B2" s="13"/>
      <c r="C2" s="13"/>
      <c r="D2" s="13"/>
    </row>
    <row r="4" spans="1:4" ht="15.75">
      <c r="A4" s="7" t="s">
        <v>1</v>
      </c>
      <c r="B4" s="8"/>
      <c r="C4" s="8"/>
      <c r="D4" s="9"/>
    </row>
    <row r="5" spans="1:4">
      <c r="A5" s="4" t="s">
        <v>2</v>
      </c>
      <c r="B5" s="4" t="s">
        <v>3</v>
      </c>
      <c r="C5" s="4" t="s">
        <v>4</v>
      </c>
      <c r="D5" s="4" t="s">
        <v>5</v>
      </c>
    </row>
    <row r="6" spans="1:4">
      <c r="A6" s="3">
        <v>101</v>
      </c>
      <c r="B6" s="3" t="s">
        <v>6</v>
      </c>
      <c r="C6" s="3" t="s">
        <v>7</v>
      </c>
      <c r="D6" s="3">
        <v>799</v>
      </c>
    </row>
    <row r="7" spans="1:4">
      <c r="A7" s="3">
        <v>102</v>
      </c>
      <c r="B7" s="3" t="s">
        <v>8</v>
      </c>
      <c r="C7" s="3" t="s">
        <v>7</v>
      </c>
      <c r="D7" s="3">
        <v>1199</v>
      </c>
    </row>
    <row r="8" spans="1:4">
      <c r="A8" s="3">
        <v>103</v>
      </c>
      <c r="B8" s="3" t="s">
        <v>9</v>
      </c>
      <c r="C8" s="3" t="s">
        <v>7</v>
      </c>
      <c r="D8" s="3">
        <v>799</v>
      </c>
    </row>
    <row r="9" spans="1:4">
      <c r="A9" s="3">
        <v>104</v>
      </c>
      <c r="B9" s="3" t="s">
        <v>10</v>
      </c>
      <c r="C9" s="3" t="s">
        <v>7</v>
      </c>
      <c r="D9" s="3">
        <v>999</v>
      </c>
    </row>
    <row r="10" spans="1:4">
      <c r="A10" s="3">
        <v>105</v>
      </c>
      <c r="B10" s="3" t="s">
        <v>11</v>
      </c>
      <c r="C10" s="3" t="s">
        <v>7</v>
      </c>
      <c r="D10" s="3">
        <v>1599</v>
      </c>
    </row>
    <row r="11" spans="1:4">
      <c r="A11" s="3">
        <v>201</v>
      </c>
      <c r="B11" s="3" t="s">
        <v>12</v>
      </c>
      <c r="C11" s="3" t="s">
        <v>13</v>
      </c>
      <c r="D11" s="3">
        <v>599</v>
      </c>
    </row>
    <row r="12" spans="1:4">
      <c r="A12" s="3">
        <v>202</v>
      </c>
      <c r="B12" s="3" t="s">
        <v>14</v>
      </c>
      <c r="C12" s="3" t="s">
        <v>13</v>
      </c>
      <c r="D12" s="3">
        <v>399</v>
      </c>
    </row>
    <row r="13" spans="1:4">
      <c r="A13" s="3">
        <v>301</v>
      </c>
      <c r="B13" s="3" t="s">
        <v>15</v>
      </c>
      <c r="C13" s="3" t="s">
        <v>16</v>
      </c>
      <c r="D13" s="3">
        <v>499</v>
      </c>
    </row>
    <row r="14" spans="1:4">
      <c r="A14" s="3">
        <v>302</v>
      </c>
      <c r="B14" s="3" t="s">
        <v>17</v>
      </c>
      <c r="C14" s="3" t="s">
        <v>16</v>
      </c>
      <c r="D14" s="3">
        <v>599</v>
      </c>
    </row>
    <row r="15" spans="1:4">
      <c r="A15" s="3">
        <v>401</v>
      </c>
      <c r="B15" s="3" t="s">
        <v>18</v>
      </c>
      <c r="C15" s="3" t="s">
        <v>19</v>
      </c>
      <c r="D15" s="3">
        <v>2499</v>
      </c>
    </row>
    <row r="16" spans="1:4">
      <c r="A16" s="3">
        <v>402</v>
      </c>
      <c r="B16" s="3" t="s">
        <v>20</v>
      </c>
      <c r="C16" s="3" t="s">
        <v>19</v>
      </c>
      <c r="D16" s="3">
        <v>1599</v>
      </c>
    </row>
    <row r="19" spans="1:5" ht="15.75">
      <c r="A19" s="10" t="s">
        <v>21</v>
      </c>
      <c r="B19" s="10"/>
      <c r="C19" s="10"/>
      <c r="D19" s="10"/>
      <c r="E19" s="10"/>
    </row>
    <row r="20" spans="1:5">
      <c r="A20" s="6" t="s">
        <v>22</v>
      </c>
      <c r="B20" s="6" t="s">
        <v>3</v>
      </c>
      <c r="C20" s="6" t="s">
        <v>23</v>
      </c>
      <c r="D20" s="6" t="s">
        <v>5</v>
      </c>
      <c r="E20" s="6" t="s">
        <v>24</v>
      </c>
    </row>
    <row r="21" spans="1:5">
      <c r="A21" s="3">
        <v>1</v>
      </c>
      <c r="B21" s="3" t="s">
        <v>10</v>
      </c>
      <c r="C21" s="3">
        <v>2</v>
      </c>
      <c r="D21" s="3">
        <v>999</v>
      </c>
      <c r="E21" s="3">
        <f>SUM(C21*D21)</f>
        <v>1998</v>
      </c>
    </row>
    <row r="22" spans="1:5">
      <c r="A22" s="3">
        <v>2</v>
      </c>
      <c r="B22" s="3" t="s">
        <v>9</v>
      </c>
      <c r="C22" s="3">
        <v>3</v>
      </c>
      <c r="D22" s="3">
        <v>799</v>
      </c>
      <c r="E22" s="3">
        <f>D22*C22</f>
        <v>2397</v>
      </c>
    </row>
    <row r="23" spans="1:5">
      <c r="A23" s="3">
        <v>3</v>
      </c>
      <c r="B23" s="3" t="s">
        <v>15</v>
      </c>
      <c r="C23" s="3">
        <v>4</v>
      </c>
      <c r="D23" s="3">
        <v>499</v>
      </c>
      <c r="E23" s="3">
        <f>D23*C23</f>
        <v>1996</v>
      </c>
    </row>
    <row r="24" spans="1:5">
      <c r="A24" s="3">
        <v>4</v>
      </c>
      <c r="B24" s="3" t="s">
        <v>14</v>
      </c>
      <c r="C24" s="3">
        <v>5</v>
      </c>
      <c r="D24" s="3">
        <v>399</v>
      </c>
      <c r="E24" s="3">
        <f>D24*C24</f>
        <v>1995</v>
      </c>
    </row>
    <row r="27" spans="1:5" ht="15.75">
      <c r="A27" s="11" t="s">
        <v>25</v>
      </c>
      <c r="B27" s="11"/>
      <c r="C27" s="11"/>
      <c r="D27" s="11"/>
      <c r="E27" s="11"/>
    </row>
    <row r="28" spans="1:5">
      <c r="A28" s="6" t="s">
        <v>3</v>
      </c>
      <c r="B28" s="6" t="s">
        <v>26</v>
      </c>
      <c r="C28" s="6" t="s">
        <v>27</v>
      </c>
      <c r="D28" s="6" t="s">
        <v>28</v>
      </c>
      <c r="E28" s="6" t="s">
        <v>29</v>
      </c>
    </row>
    <row r="29" spans="1:5">
      <c r="A29" s="3" t="s">
        <v>6</v>
      </c>
      <c r="B29" s="3">
        <v>450</v>
      </c>
      <c r="C29" s="3">
        <v>799</v>
      </c>
      <c r="D29" s="3">
        <f>C29-B29</f>
        <v>349</v>
      </c>
      <c r="E29" s="3">
        <f>D29*100/C29</f>
        <v>43.67959949937422</v>
      </c>
    </row>
    <row r="30" spans="1:5">
      <c r="A30" s="3" t="s">
        <v>8</v>
      </c>
      <c r="B30" s="3">
        <v>700</v>
      </c>
      <c r="C30" s="3">
        <v>1199</v>
      </c>
      <c r="D30" s="3">
        <f>C30-B30</f>
        <v>499</v>
      </c>
      <c r="E30" s="3">
        <f>D30*100/C30</f>
        <v>41.618015012510426</v>
      </c>
    </row>
    <row r="31" spans="1:5">
      <c r="A31" s="3" t="s">
        <v>10</v>
      </c>
      <c r="B31" s="3">
        <v>400</v>
      </c>
      <c r="C31" s="3">
        <v>999</v>
      </c>
      <c r="D31" s="3">
        <f>C31-B31</f>
        <v>599</v>
      </c>
      <c r="E31" s="3">
        <f>D31*100/C31</f>
        <v>59.95995995995996</v>
      </c>
    </row>
    <row r="32" spans="1:5">
      <c r="A32" s="3" t="s">
        <v>11</v>
      </c>
      <c r="B32" s="3">
        <v>600</v>
      </c>
      <c r="C32" s="3">
        <v>1599</v>
      </c>
      <c r="D32" s="3">
        <f>C32-B32</f>
        <v>999</v>
      </c>
      <c r="E32" s="3">
        <f>D32*100/C32</f>
        <v>62.476547842401501</v>
      </c>
    </row>
    <row r="33" spans="1:5">
      <c r="A33" s="14" t="s">
        <v>15</v>
      </c>
      <c r="B33" s="14">
        <v>250</v>
      </c>
      <c r="C33" s="14">
        <v>499</v>
      </c>
      <c r="D33" s="14">
        <f>C33-B33</f>
        <v>249</v>
      </c>
      <c r="E33" s="14">
        <f>D33*100/C33</f>
        <v>49.899799599198396</v>
      </c>
    </row>
    <row r="34" spans="1:5">
      <c r="A34" s="16" t="s">
        <v>30</v>
      </c>
      <c r="B34" s="15">
        <f>(B29+B30+B31+B32+B33)/5</f>
        <v>480</v>
      </c>
      <c r="C34" s="15">
        <f>(C29+C30+C31+C32+C33)/5</f>
        <v>1019</v>
      </c>
      <c r="D34" s="15">
        <f>(D29+D30+D32+D31+D33)/5</f>
        <v>539</v>
      </c>
      <c r="E34" s="15">
        <f>(E33+E32+E31+E30+E29)/5</f>
        <v>51.526784382688902</v>
      </c>
    </row>
    <row r="36" spans="1:5" ht="15.75">
      <c r="A36" s="11" t="s">
        <v>31</v>
      </c>
      <c r="B36" s="11"/>
      <c r="C36" s="11"/>
      <c r="D36" s="11"/>
      <c r="E36" s="11"/>
    </row>
    <row r="37" spans="1:5">
      <c r="A37" s="5" t="s">
        <v>32</v>
      </c>
      <c r="B37" s="5" t="s">
        <v>33</v>
      </c>
      <c r="C37" s="5" t="s">
        <v>34</v>
      </c>
      <c r="D37" s="5" t="s">
        <v>35</v>
      </c>
      <c r="E37" s="5" t="s">
        <v>36</v>
      </c>
    </row>
    <row r="38" spans="1:5">
      <c r="A38" s="1" t="s">
        <v>18</v>
      </c>
      <c r="B38" s="1" t="s">
        <v>37</v>
      </c>
      <c r="C38" s="1">
        <v>2899</v>
      </c>
      <c r="D38" s="2">
        <v>0.14000000000000001</v>
      </c>
      <c r="E38" s="1">
        <f>C38-(C38*D38)</f>
        <v>2493.14</v>
      </c>
    </row>
    <row r="39" spans="1:5">
      <c r="A39" s="1" t="s">
        <v>20</v>
      </c>
      <c r="B39" s="1" t="s">
        <v>38</v>
      </c>
      <c r="C39" s="1">
        <v>1799</v>
      </c>
      <c r="D39" s="2">
        <v>0.11</v>
      </c>
      <c r="E39" s="1">
        <f>C39-(C39*D39)</f>
        <v>1601.11</v>
      </c>
    </row>
  </sheetData>
  <mergeCells count="5">
    <mergeCell ref="A4:D4"/>
    <mergeCell ref="A19:E19"/>
    <mergeCell ref="A27:E27"/>
    <mergeCell ref="A36:E36"/>
    <mergeCell ref="A1:D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2025-12-26T11:53:45Z</dcterms:created>
  <dcterms:modified xsi:type="dcterms:W3CDTF">2025-12-26T13:45:02Z</dcterms:modified>
  <cp:category/>
  <cp:contentStatus/>
</cp:coreProperties>
</file>