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m 1\AICT\mid project\"/>
    </mc:Choice>
  </mc:AlternateContent>
  <xr:revisionPtr revIDLastSave="0" documentId="13_ncr:1_{6D738DB1-799D-477B-9529-ACACA50737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nalysi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C28" i="1"/>
  <c r="B28" i="1"/>
  <c r="B151" i="1"/>
  <c r="B145" i="1"/>
  <c r="B138" i="1"/>
  <c r="B131" i="1"/>
  <c r="B122" i="1"/>
  <c r="B115" i="1"/>
  <c r="B106" i="1"/>
  <c r="B87" i="1"/>
  <c r="D97" i="1"/>
  <c r="D96" i="1"/>
  <c r="D95" i="1"/>
  <c r="D94" i="1"/>
  <c r="D93" i="1"/>
  <c r="D92" i="1"/>
  <c r="D91" i="1"/>
  <c r="B81" i="1"/>
  <c r="B72" i="1"/>
  <c r="B63" i="1"/>
  <c r="D54" i="1"/>
  <c r="B36" i="1"/>
  <c r="B18" i="1"/>
  <c r="C7" i="1"/>
  <c r="C8" i="1"/>
  <c r="C9" i="1"/>
  <c r="C10" i="1"/>
  <c r="C11" i="1"/>
  <c r="C17" i="1"/>
  <c r="C16" i="1"/>
  <c r="C27" i="1"/>
  <c r="C26" i="1"/>
  <c r="C25" i="1"/>
  <c r="C24" i="1"/>
  <c r="C23" i="1"/>
  <c r="C22" i="1"/>
  <c r="C35" i="1"/>
  <c r="C34" i="1"/>
  <c r="C33" i="1"/>
  <c r="C32" i="1"/>
  <c r="C46" i="1"/>
  <c r="C45" i="1"/>
  <c r="C44" i="1"/>
  <c r="C43" i="1"/>
  <c r="C42" i="1"/>
  <c r="C41" i="1"/>
  <c r="C40" i="1"/>
  <c r="E53" i="1"/>
  <c r="E52" i="1"/>
  <c r="E51" i="1"/>
  <c r="E50" i="1"/>
  <c r="C62" i="1"/>
  <c r="C61" i="1"/>
  <c r="C60" i="1"/>
  <c r="C59" i="1"/>
  <c r="C58" i="1"/>
  <c r="C71" i="1"/>
  <c r="C70" i="1"/>
  <c r="C69" i="1"/>
  <c r="C68" i="1"/>
  <c r="C67" i="1"/>
  <c r="C80" i="1"/>
  <c r="C79" i="1"/>
  <c r="C78" i="1"/>
  <c r="C77" i="1"/>
  <c r="C76" i="1"/>
  <c r="C86" i="1"/>
  <c r="C85" i="1"/>
  <c r="C105" i="1"/>
  <c r="C104" i="1"/>
  <c r="C103" i="1"/>
  <c r="C102" i="1"/>
  <c r="C101" i="1"/>
  <c r="C114" i="1"/>
  <c r="C113" i="1"/>
  <c r="C112" i="1"/>
  <c r="C111" i="1"/>
  <c r="C110" i="1"/>
  <c r="C121" i="1"/>
  <c r="C120" i="1"/>
  <c r="C119" i="1"/>
  <c r="C130" i="1"/>
  <c r="C129" i="1"/>
  <c r="C128" i="1"/>
  <c r="C127" i="1"/>
  <c r="C126" i="1"/>
  <c r="C137" i="1"/>
  <c r="C136" i="1"/>
  <c r="C135" i="1"/>
  <c r="C142" i="1"/>
  <c r="C143" i="1"/>
  <c r="C144" i="1"/>
  <c r="C150" i="1"/>
  <c r="C149" i="1"/>
  <c r="C87" i="1" l="1"/>
  <c r="C151" i="1"/>
  <c r="C122" i="1"/>
  <c r="C12" i="1"/>
  <c r="C18" i="1"/>
  <c r="E54" i="1"/>
  <c r="C131" i="1"/>
  <c r="C36" i="1"/>
  <c r="C115" i="1"/>
  <c r="C72" i="1"/>
  <c r="C145" i="1"/>
  <c r="C81" i="1"/>
  <c r="C138" i="1"/>
  <c r="C106" i="1"/>
  <c r="C63" i="1"/>
</calcChain>
</file>

<file path=xl/sharedStrings.xml><?xml version="1.0" encoding="utf-8"?>
<sst xmlns="http://schemas.openxmlformats.org/spreadsheetml/2006/main" count="142" uniqueCount="73">
  <si>
    <t xml:space="preserve">   Question 1:   Age</t>
  </si>
  <si>
    <t>Count</t>
  </si>
  <si>
    <t>Percentage</t>
  </si>
  <si>
    <t>Under 18</t>
  </si>
  <si>
    <t>18-24</t>
  </si>
  <si>
    <t>25-34</t>
  </si>
  <si>
    <t>34-49</t>
  </si>
  <si>
    <t>50 and above</t>
  </si>
  <si>
    <t>Sum</t>
  </si>
  <si>
    <t xml:space="preserve">   Question 2:  Gender</t>
  </si>
  <si>
    <t>Response Option</t>
  </si>
  <si>
    <t>Male</t>
  </si>
  <si>
    <t>Female</t>
  </si>
  <si>
    <t xml:space="preserve">   Question 3: What is/are the Primary language(s) you are fluent in?</t>
  </si>
  <si>
    <t>Reponse Option</t>
  </si>
  <si>
    <t xml:space="preserve">Count </t>
  </si>
  <si>
    <t>Urdu</t>
  </si>
  <si>
    <t>English</t>
  </si>
  <si>
    <t>Punjabi</t>
  </si>
  <si>
    <t>Pashto</t>
  </si>
  <si>
    <t>Sindhi</t>
  </si>
  <si>
    <t>Saraiki</t>
  </si>
  <si>
    <t>Average</t>
  </si>
  <si>
    <t>Never</t>
  </si>
  <si>
    <t>Rarely</t>
  </si>
  <si>
    <t>Occasionally</t>
  </si>
  <si>
    <t>Frequently</t>
  </si>
  <si>
    <t xml:space="preserve">   Question 5: Who primarily communicatd the importance of skin tone/complexion during your unbringing?</t>
  </si>
  <si>
    <t>Parents</t>
  </si>
  <si>
    <t>Siblings</t>
  </si>
  <si>
    <t>Elders</t>
  </si>
  <si>
    <t>Extended Family</t>
  </si>
  <si>
    <t>Friends</t>
  </si>
  <si>
    <t>Media</t>
  </si>
  <si>
    <t>No one</t>
  </si>
  <si>
    <t xml:space="preserve">   Question 6: Have you ever resorted to using skin lightening products or considered using them?</t>
  </si>
  <si>
    <t>Yes, currently use them</t>
  </si>
  <si>
    <t>Yes,have use them in past but stopped</t>
  </si>
  <si>
    <t>Yes , have considered doing so</t>
  </si>
  <si>
    <t>No</t>
  </si>
  <si>
    <t xml:space="preserve">   Question 7: I feel less confident in social settings because of my skin tone. Rate(1-5)</t>
  </si>
  <si>
    <t>Response Options</t>
  </si>
  <si>
    <t xml:space="preserve">   Question 8: I believe that having a lighter/fairer complexion is generally more attractive than having a darker complexion.</t>
  </si>
  <si>
    <t>Respose Option</t>
  </si>
  <si>
    <t xml:space="preserve">   Question 9: I feel proud of my natural skin tone, regardless of societal beauty standards.</t>
  </si>
  <si>
    <t xml:space="preserve">   Question 10: Have you ever felt less respected/intelligent because of your English accent or fluency?</t>
  </si>
  <si>
    <t>Yes</t>
  </si>
  <si>
    <t xml:space="preserve">   Question 11: In what kind of settings do you generally feel judged because of your English fluency?</t>
  </si>
  <si>
    <t>Educational Institutions</t>
  </si>
  <si>
    <t>Social Gatherings</t>
  </si>
  <si>
    <t>Workplaces</t>
  </si>
  <si>
    <t>Online Spaces</t>
  </si>
  <si>
    <t>Private Edu Institutes</t>
  </si>
  <si>
    <t>Not Judged</t>
  </si>
  <si>
    <t>None</t>
  </si>
  <si>
    <t xml:space="preserve">   Question 12: How often do you switch your language or accent to fit in socially or professionally?</t>
  </si>
  <si>
    <t xml:space="preserve">Always </t>
  </si>
  <si>
    <t>Often</t>
  </si>
  <si>
    <t>Sometimes</t>
  </si>
  <si>
    <t>Respose option</t>
  </si>
  <si>
    <t xml:space="preserve">   Question 14: In your opinion, does English proficiency provide social advantage in major Pakistani cities? </t>
  </si>
  <si>
    <t>Maybe</t>
  </si>
  <si>
    <t xml:space="preserve">   Question 15: Have you ever felt pressurized to speak English in social/professional settings to be taken seriously. </t>
  </si>
  <si>
    <t xml:space="preserve">   Question 16: Do you think in Pakistani educational institutions, English is unfairly prioritized over local languages?</t>
  </si>
  <si>
    <t xml:space="preserve">   Question 17: Have you ever compared yourself to others based on their skin tone and language fluency?</t>
  </si>
  <si>
    <t xml:space="preserve">Yes </t>
  </si>
  <si>
    <t xml:space="preserve">   Question 18: Which of the following do you think influences identity more in your community?</t>
  </si>
  <si>
    <t>Fair Skin</t>
  </si>
  <si>
    <t>English fluency</t>
  </si>
  <si>
    <t>DATA-ANALYSIS</t>
  </si>
  <si>
    <t xml:space="preserve">TOTAL RESPONSES </t>
  </si>
  <si>
    <t xml:space="preserve">   Question 4: Have you ever felt judged or discriminated against in social settings specifiacally because of your skin tone?       </t>
  </si>
  <si>
    <t xml:space="preserve">   Question 13: I have observed that people who speak fluent English are generally treated with more respect or perceived as belonging to a higher social class in Pakistan.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</si>
</sst>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0"/>
        <b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CE5CD"/>
      </patternFill>
    </fill>
    <fill>
      <patternFill patternType="solid">
        <fgColor rgb="FFFFFFCC"/>
        <bgColor rgb="FFD9EAD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0" tint="-0.1499679555650502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3" borderId="4" xfId="0" applyFont="1" applyFill="1" applyBorder="1"/>
    <xf numFmtId="0" fontId="3" fillId="0" borderId="0" xfId="0" applyFont="1"/>
    <xf numFmtId="0" fontId="1" fillId="3" borderId="10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2" fillId="3" borderId="5" xfId="0" applyFont="1" applyFill="1" applyBorder="1"/>
    <xf numFmtId="0" fontId="4" fillId="6" borderId="2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top"/>
    </xf>
    <xf numFmtId="0" fontId="2" fillId="3" borderId="7" xfId="0" applyFont="1" applyFill="1" applyBorder="1"/>
    <xf numFmtId="0" fontId="5" fillId="0" borderId="15" xfId="0" applyFont="1" applyBorder="1" applyAlignment="1">
      <alignment horizontal="center" vertical="top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3" xfId="0" applyFont="1" applyBorder="1"/>
    <xf numFmtId="0" fontId="7" fillId="7" borderId="2" xfId="0" applyFont="1" applyFill="1" applyBorder="1" applyAlignment="1">
      <alignment horizontal="center"/>
    </xf>
    <xf numFmtId="0" fontId="3" fillId="0" borderId="2" xfId="0" applyFont="1" applyBorder="1"/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4" borderId="2" xfId="0" applyFont="1" applyFill="1" applyBorder="1"/>
    <xf numFmtId="0" fontId="3" fillId="0" borderId="2" xfId="0" applyFont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7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5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2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4" xfId="0" applyFont="1" applyBorder="1"/>
    <xf numFmtId="0" fontId="7" fillId="4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8F2E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Question 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Analysis!$B$21</c:f>
              <c:strCache>
                <c:ptCount val="1"/>
                <c:pt idx="0">
                  <c:v>Count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50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43A1-204A-9E7C-ABFEE05750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tint val="70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70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43A1-204A-9E7C-ABFEE05750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0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90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9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43A1-204A-9E7C-ABFEE05750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3">
                      <a:shade val="90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90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9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43A1-204A-9E7C-ABFEE05750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shade val="70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70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43A1-204A-9E7C-ABFEE057508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3">
                      <a:shade val="50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50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43A1-204A-9E7C-ABFEE0575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Analysis!$A$22:$A$27</c:f>
              <c:strCache>
                <c:ptCount val="6"/>
                <c:pt idx="0">
                  <c:v>Urdu</c:v>
                </c:pt>
                <c:pt idx="1">
                  <c:v>English</c:v>
                </c:pt>
                <c:pt idx="2">
                  <c:v>Punjabi</c:v>
                </c:pt>
                <c:pt idx="3">
                  <c:v>Pashto</c:v>
                </c:pt>
                <c:pt idx="4">
                  <c:v>Sindhi</c:v>
                </c:pt>
                <c:pt idx="5">
                  <c:v>Saraiki</c:v>
                </c:pt>
              </c:strCache>
            </c:strRef>
          </c:cat>
          <c:val>
            <c:numRef>
              <c:f>Analysis!$B$22:$B$27</c:f>
              <c:numCache>
                <c:formatCode>General</c:formatCode>
                <c:ptCount val="6"/>
                <c:pt idx="0">
                  <c:v>38</c:v>
                </c:pt>
                <c:pt idx="1">
                  <c:v>27</c:v>
                </c:pt>
                <c:pt idx="2">
                  <c:v>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6-BB4B-AB0C-8AF270FF7EE7}"/>
            </c:ext>
          </c:extLst>
        </c:ser>
        <c:ser>
          <c:idx val="1"/>
          <c:order val="1"/>
          <c:tx>
            <c:strRef>
              <c:f>Analysis!$C$21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50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43A1-204A-9E7C-ABFEE05750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tint val="70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70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43A1-204A-9E7C-ABFEE05750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0000"/>
                      <a:shade val="51000"/>
                      <a:satMod val="130000"/>
                    </a:schemeClr>
                  </a:gs>
                  <a:gs pos="80000">
                    <a:schemeClr val="accent3">
                      <a:tint val="90000"/>
                      <a:shade val="93000"/>
                      <a:satMod val="130000"/>
                    </a:schemeClr>
                  </a:gs>
                  <a:gs pos="100000">
                    <a:schemeClr val="accent3">
                      <a:tint val="9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43A1-204A-9E7C-ABFEE05750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3">
                      <a:shade val="90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90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9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43A1-204A-9E7C-ABFEE05750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shade val="70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70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43A1-204A-9E7C-ABFEE057508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3">
                      <a:shade val="50000"/>
                      <a:shade val="51000"/>
                      <a:satMod val="130000"/>
                    </a:schemeClr>
                  </a:gs>
                  <a:gs pos="80000">
                    <a:schemeClr val="accent3">
                      <a:shade val="50000"/>
                      <a:shade val="93000"/>
                      <a:satMod val="130000"/>
                    </a:schemeClr>
                  </a:gs>
                  <a:gs pos="100000">
                    <a:schemeClr val="accent3">
                      <a:shade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43A1-204A-9E7C-ABFEE0575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Analysis!$A$22:$A$27</c:f>
              <c:strCache>
                <c:ptCount val="6"/>
                <c:pt idx="0">
                  <c:v>Urdu</c:v>
                </c:pt>
                <c:pt idx="1">
                  <c:v>English</c:v>
                </c:pt>
                <c:pt idx="2">
                  <c:v>Punjabi</c:v>
                </c:pt>
                <c:pt idx="3">
                  <c:v>Pashto</c:v>
                </c:pt>
                <c:pt idx="4">
                  <c:v>Sindhi</c:v>
                </c:pt>
                <c:pt idx="5">
                  <c:v>Saraiki</c:v>
                </c:pt>
              </c:strCache>
            </c:strRef>
          </c:cat>
          <c:val>
            <c:numRef>
              <c:f>Analysis!$C$22:$C$27</c:f>
              <c:numCache>
                <c:formatCode>General</c:formatCode>
                <c:ptCount val="6"/>
                <c:pt idx="0">
                  <c:v>97.435897435897431</c:v>
                </c:pt>
                <c:pt idx="1">
                  <c:v>69.230769230769226</c:v>
                </c:pt>
                <c:pt idx="2">
                  <c:v>33.333333333333336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6-BB4B-AB0C-8AF270FF7EE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b="1">
                <a:latin typeface="Times New Roman" panose="02020603050405020304" pitchFamily="18" charset="0"/>
                <a:cs typeface="Times New Roman" panose="02020603050405020304" pitchFamily="18" charset="0"/>
              </a:rPr>
              <a:t>Question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Analysis!$A$40:$A$46</c:f>
              <c:strCache>
                <c:ptCount val="7"/>
                <c:pt idx="0">
                  <c:v>Parents</c:v>
                </c:pt>
                <c:pt idx="1">
                  <c:v>Siblings</c:v>
                </c:pt>
                <c:pt idx="2">
                  <c:v>Elders</c:v>
                </c:pt>
                <c:pt idx="3">
                  <c:v>Extended Family</c:v>
                </c:pt>
                <c:pt idx="4">
                  <c:v>Friends</c:v>
                </c:pt>
                <c:pt idx="5">
                  <c:v>Media</c:v>
                </c:pt>
                <c:pt idx="6">
                  <c:v>No one</c:v>
                </c:pt>
              </c:strCache>
            </c:strRef>
          </c:cat>
          <c:val>
            <c:numRef>
              <c:f>Analysis!$B$40:$B$46</c:f>
              <c:numCache>
                <c:formatCode>General</c:formatCode>
                <c:ptCount val="7"/>
                <c:pt idx="0">
                  <c:v>9</c:v>
                </c:pt>
                <c:pt idx="1">
                  <c:v>5</c:v>
                </c:pt>
                <c:pt idx="2">
                  <c:v>7</c:v>
                </c:pt>
                <c:pt idx="3">
                  <c:v>14</c:v>
                </c:pt>
                <c:pt idx="4">
                  <c:v>6</c:v>
                </c:pt>
                <c:pt idx="5">
                  <c:v>13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E-9449-8A46-1EEBEA19ACE0}"/>
            </c:ext>
          </c:extLst>
        </c:ser>
        <c:ser>
          <c:idx val="1"/>
          <c:order val="1"/>
          <c:tx>
            <c:strRef>
              <c:f>Analysis!$C$39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Analysis!$A$40:$A$46</c:f>
              <c:strCache>
                <c:ptCount val="7"/>
                <c:pt idx="0">
                  <c:v>Parents</c:v>
                </c:pt>
                <c:pt idx="1">
                  <c:v>Siblings</c:v>
                </c:pt>
                <c:pt idx="2">
                  <c:v>Elders</c:v>
                </c:pt>
                <c:pt idx="3">
                  <c:v>Extended Family</c:v>
                </c:pt>
                <c:pt idx="4">
                  <c:v>Friends</c:v>
                </c:pt>
                <c:pt idx="5">
                  <c:v>Media</c:v>
                </c:pt>
                <c:pt idx="6">
                  <c:v>No one</c:v>
                </c:pt>
              </c:strCache>
            </c:strRef>
          </c:cat>
          <c:val>
            <c:numRef>
              <c:f>Analysis!$C$40:$C$46</c:f>
              <c:numCache>
                <c:formatCode>General</c:formatCode>
                <c:ptCount val="7"/>
                <c:pt idx="0">
                  <c:v>23.076923076923077</c:v>
                </c:pt>
                <c:pt idx="1">
                  <c:v>12.820512820512821</c:v>
                </c:pt>
                <c:pt idx="2">
                  <c:v>17.948717948717949</c:v>
                </c:pt>
                <c:pt idx="3">
                  <c:v>35.897435897435898</c:v>
                </c:pt>
                <c:pt idx="4">
                  <c:v>15.384615384615385</c:v>
                </c:pt>
                <c:pt idx="5">
                  <c:v>33.333333333333336</c:v>
                </c:pt>
                <c:pt idx="6">
                  <c:v>23.076923076923077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E-9449-8A46-1EEBEA19AC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7682576"/>
        <c:axId val="2027815696"/>
      </c:barChart>
      <c:catAx>
        <c:axId val="202768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PK"/>
          </a:p>
        </c:txPr>
        <c:crossAx val="2027815696"/>
        <c:crosses val="autoZero"/>
        <c:auto val="1"/>
        <c:lblAlgn val="ctr"/>
        <c:lblOffset val="100"/>
        <c:noMultiLvlLbl val="0"/>
      </c:catAx>
      <c:valAx>
        <c:axId val="202781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276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>
        <c:manualLayout>
          <c:xMode val="edge"/>
          <c:yMode val="edge"/>
          <c:x val="0.72947900262467191"/>
          <c:y val="0.10648148148148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166666666666666"/>
          <c:y val="0.11099555263925343"/>
          <c:w val="0.76330096237970257"/>
          <c:h val="0.75474518810148727"/>
        </c:manualLayout>
      </c:layout>
      <c:pie3DChart>
        <c:varyColors val="1"/>
        <c:ser>
          <c:idx val="0"/>
          <c:order val="0"/>
          <c:tx>
            <c:strRef>
              <c:f>Analysis!$A$149</c:f>
              <c:strCache>
                <c:ptCount val="1"/>
                <c:pt idx="0">
                  <c:v>Fair Skin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5FC9-004E-8910-40DAE6200284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FD11-484B-87D6-ADF31A75378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Analysis!$B$148:$C$148</c:f>
              <c:strCache>
                <c:ptCount val="2"/>
                <c:pt idx="0">
                  <c:v>Count</c:v>
                </c:pt>
                <c:pt idx="1">
                  <c:v>Percentage</c:v>
                </c:pt>
              </c:strCache>
            </c:strRef>
          </c:cat>
          <c:val>
            <c:numRef>
              <c:f>Analysis!$B$149:$C$149</c:f>
              <c:numCache>
                <c:formatCode>General</c:formatCode>
                <c:ptCount val="2"/>
                <c:pt idx="0">
                  <c:v>24</c:v>
                </c:pt>
                <c:pt idx="1">
                  <c:v>61.53846153846154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1-484B-87D6-ADF31A75378F}"/>
            </c:ext>
          </c:extLst>
        </c:ser>
        <c:ser>
          <c:idx val="1"/>
          <c:order val="1"/>
          <c:tx>
            <c:strRef>
              <c:f>Analysis!$A$150</c:f>
              <c:strCache>
                <c:ptCount val="1"/>
                <c:pt idx="0">
                  <c:v>English fluency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FC9-004E-8910-40DAE6200284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5FC9-004E-8910-40DAE620028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Analysis!$B$148:$C$148</c:f>
              <c:strCache>
                <c:ptCount val="2"/>
                <c:pt idx="0">
                  <c:v>Count</c:v>
                </c:pt>
                <c:pt idx="1">
                  <c:v>Percentage</c:v>
                </c:pt>
              </c:strCache>
            </c:strRef>
          </c:cat>
          <c:val>
            <c:numRef>
              <c:f>Analysis!$B$150:$C$150</c:f>
              <c:numCache>
                <c:formatCode>General</c:formatCode>
                <c:ptCount val="2"/>
                <c:pt idx="0">
                  <c:v>27</c:v>
                </c:pt>
                <c:pt idx="1">
                  <c:v>69.230769230769226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1-484B-87D6-ADF31A75378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>
                <a:latin typeface="Times New Roman" panose="02020603050405020304" pitchFamily="18" charset="0"/>
                <a:cs typeface="Times New Roman" panose="02020603050405020304" pitchFamily="18" charset="0"/>
              </a:rPr>
              <a:t>Question 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B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Analysis!$B$100</c:f>
              <c:strCache>
                <c:ptCount val="1"/>
                <c:pt idx="0">
                  <c:v>Count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77000"/>
                    <a:shade val="51000"/>
                    <a:satMod val="130000"/>
                  </a:schemeClr>
                </a:gs>
                <a:gs pos="80000">
                  <a:schemeClr val="accent3">
                    <a:tint val="77000"/>
                    <a:shade val="93000"/>
                    <a:satMod val="130000"/>
                  </a:schemeClr>
                </a:gs>
                <a:gs pos="100000">
                  <a:schemeClr val="accent3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Analysis!$A$101:$A$105</c:f>
              <c:strCache>
                <c:ptCount val="5"/>
                <c:pt idx="0">
                  <c:v>Always </c:v>
                </c:pt>
                <c:pt idx="1">
                  <c:v>Often</c:v>
                </c:pt>
                <c:pt idx="2">
                  <c:v>Sometimes</c:v>
                </c:pt>
                <c:pt idx="3">
                  <c:v>Rarely</c:v>
                </c:pt>
                <c:pt idx="4">
                  <c:v>Never</c:v>
                </c:pt>
              </c:strCache>
            </c:strRef>
          </c:cat>
          <c:val>
            <c:numRef>
              <c:f>Analysis!$B$101:$B$105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23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F-134E-BEEC-BBB394EB4495}"/>
            </c:ext>
          </c:extLst>
        </c:ser>
        <c:ser>
          <c:idx val="1"/>
          <c:order val="1"/>
          <c:tx>
            <c:strRef>
              <c:f>Analysis!$C$100</c:f>
              <c:strCache>
                <c:ptCount val="1"/>
                <c:pt idx="0">
                  <c:v>Percentage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76000"/>
                    <a:shade val="51000"/>
                    <a:satMod val="130000"/>
                  </a:schemeClr>
                </a:gs>
                <a:gs pos="80000">
                  <a:schemeClr val="accent3">
                    <a:shade val="76000"/>
                    <a:shade val="93000"/>
                    <a:satMod val="130000"/>
                  </a:schemeClr>
                </a:gs>
                <a:gs pos="100000">
                  <a:schemeClr val="accent3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Analysis!$A$101:$A$105</c:f>
              <c:strCache>
                <c:ptCount val="5"/>
                <c:pt idx="0">
                  <c:v>Always </c:v>
                </c:pt>
                <c:pt idx="1">
                  <c:v>Often</c:v>
                </c:pt>
                <c:pt idx="2">
                  <c:v>Sometimes</c:v>
                </c:pt>
                <c:pt idx="3">
                  <c:v>Rarely</c:v>
                </c:pt>
                <c:pt idx="4">
                  <c:v>Never</c:v>
                </c:pt>
              </c:strCache>
            </c:strRef>
          </c:cat>
          <c:val>
            <c:numRef>
              <c:f>Analysis!$C$101:$C$105</c:f>
              <c:numCache>
                <c:formatCode>General</c:formatCode>
                <c:ptCount val="5"/>
                <c:pt idx="0">
                  <c:v>7.6923076923076925</c:v>
                </c:pt>
                <c:pt idx="1">
                  <c:v>12.820512820512821</c:v>
                </c:pt>
                <c:pt idx="2">
                  <c:v>58.974358974358971</c:v>
                </c:pt>
                <c:pt idx="3">
                  <c:v>15.384615384615385</c:v>
                </c:pt>
                <c:pt idx="4">
                  <c:v>5.1282051282051286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AF-134E-BEEC-BBB394EB44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9245104"/>
        <c:axId val="2060171040"/>
      </c:barChart>
      <c:catAx>
        <c:axId val="208924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60171040"/>
        <c:crosses val="autoZero"/>
        <c:auto val="1"/>
        <c:lblAlgn val="ctr"/>
        <c:lblOffset val="100"/>
        <c:noMultiLvlLbl val="0"/>
      </c:catAx>
      <c:valAx>
        <c:axId val="206017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8924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9526</xdr:colOff>
      <xdr:row>16</xdr:row>
      <xdr:rowOff>21850</xdr:rowOff>
    </xdr:from>
    <xdr:to>
      <xdr:col>17</xdr:col>
      <xdr:colOff>328893</xdr:colOff>
      <xdr:row>28</xdr:row>
      <xdr:rowOff>123450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C8FA5B-2081-EC32-BCFD-F9CB406F7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</xdr:colOff>
      <xdr:row>32</xdr:row>
      <xdr:rowOff>133350</xdr:rowOff>
    </xdr:from>
    <xdr:to>
      <xdr:col>17</xdr:col>
      <xdr:colOff>542925</xdr:colOff>
      <xdr:row>47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2F5509-2AEB-93F8-77AF-9AF8DA78B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11206</xdr:colOff>
      <xdr:row>135</xdr:row>
      <xdr:rowOff>14193</xdr:rowOff>
    </xdr:from>
    <xdr:to>
      <xdr:col>18</xdr:col>
      <xdr:colOff>23905</xdr:colOff>
      <xdr:row>148</xdr:row>
      <xdr:rowOff>197970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FA0FAC-CFD4-2166-4A80-4CC40BDE1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118</xdr:row>
      <xdr:rowOff>0</xdr:rowOff>
    </xdr:from>
    <xdr:to>
      <xdr:col>18</xdr:col>
      <xdr:colOff>582706</xdr:colOff>
      <xdr:row>131</xdr:row>
      <xdr:rowOff>169209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DBE100-5BB8-3C73-A6A3-9BA063EC14C9}"/>
            </a:ext>
            <a:ext uri="{147F2762-F138-4A5C-976F-8EAC2B608ADB}">
              <a16:predDERef xmlns:a16="http://schemas.microsoft.com/office/drawing/2014/main" pred="{B8FA0FAC-CFD4-2166-4A80-4CC40BDE1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0.06389</cdr:x>
      <cdr:y>0.77315</cdr:y>
    </cdr:from>
    <cdr:to>
      <cdr:x>0.45683</cdr:x>
      <cdr:y>0.90278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D4746A-B48E-540E-97D0-DCE15A81B877}"/>
            </a:ext>
          </a:extLst>
        </cdr:cNvPr>
        <cdr:cNvSpPr txBox="1"/>
      </cdr:nvSpPr>
      <cdr:spPr>
        <a:xfrm xmlns:a="http://schemas.openxmlformats.org/drawingml/2006/main">
          <a:off x="266427" y="2100112"/>
          <a:ext cx="1638573" cy="3521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 b="1">
              <a:latin typeface="Times New Roman" panose="02020603050405020304" pitchFamily="18" charset="0"/>
              <a:cs typeface="Times New Roman" panose="02020603050405020304" pitchFamily="18" charset="0"/>
            </a:rPr>
            <a:t>English fluency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zoomScale="85" zoomScaleNormal="85" workbookViewId="0">
      <selection activeCell="J1" sqref="J1"/>
    </sheetView>
  </sheetViews>
  <sheetFormatPr defaultColWidth="8.85546875" defaultRowHeight="15" x14ac:dyDescent="0.25"/>
  <cols>
    <col min="1" max="1" width="17.28515625" customWidth="1"/>
    <col min="3" max="3" width="10.85546875" customWidth="1"/>
    <col min="4" max="4" width="10.42578125" customWidth="1"/>
    <col min="5" max="5" width="11" customWidth="1"/>
    <col min="8" max="8" width="9.42578125" customWidth="1"/>
  </cols>
  <sheetData>
    <row r="1" spans="1:18" ht="18.75" x14ac:dyDescent="0.3">
      <c r="A1" s="1" t="s">
        <v>69</v>
      </c>
      <c r="B1" s="1"/>
      <c r="C1" s="1"/>
      <c r="D1" s="1"/>
      <c r="E1" s="1"/>
      <c r="F1" s="1"/>
      <c r="G1" s="1"/>
      <c r="H1" s="1"/>
      <c r="I1" s="2"/>
      <c r="J1" s="2"/>
      <c r="K1" s="3"/>
      <c r="L1" s="3"/>
      <c r="M1" s="3"/>
      <c r="N1" s="3"/>
      <c r="O1" s="3"/>
      <c r="P1" s="3"/>
      <c r="Q1" s="3"/>
      <c r="R1" s="3"/>
    </row>
    <row r="2" spans="1:18" ht="18.75" x14ac:dyDescent="0.3">
      <c r="A2" s="4"/>
      <c r="B2" s="4"/>
      <c r="C2" s="4"/>
      <c r="D2" s="5"/>
      <c r="E2" s="5"/>
      <c r="F2" s="5"/>
      <c r="G2" s="5"/>
      <c r="H2" s="5"/>
      <c r="I2" s="6"/>
      <c r="J2" s="2"/>
      <c r="K2" s="3"/>
      <c r="L2" s="3"/>
      <c r="M2" s="3"/>
      <c r="N2" s="3"/>
      <c r="O2" s="3"/>
      <c r="P2" s="3"/>
      <c r="Q2" s="3"/>
      <c r="R2" s="3"/>
    </row>
    <row r="3" spans="1:18" ht="18.75" x14ac:dyDescent="0.3">
      <c r="A3" s="7" t="s">
        <v>70</v>
      </c>
      <c r="B3" s="8"/>
      <c r="C3" s="9">
        <v>39</v>
      </c>
      <c r="D3" s="10"/>
      <c r="E3" s="10"/>
      <c r="F3" s="10"/>
      <c r="G3" s="10"/>
      <c r="H3" s="10"/>
      <c r="I3" s="6"/>
      <c r="J3" s="2"/>
      <c r="K3" s="3"/>
      <c r="L3" s="3"/>
      <c r="M3" s="3"/>
      <c r="N3" s="3"/>
      <c r="O3" s="3"/>
      <c r="P3" s="3"/>
      <c r="Q3" s="3"/>
      <c r="R3" s="3"/>
    </row>
    <row r="4" spans="1:18" ht="18.75" x14ac:dyDescent="0.3">
      <c r="A4" s="11"/>
      <c r="B4" s="11"/>
      <c r="C4" s="11"/>
      <c r="D4" s="12"/>
      <c r="E4" s="12"/>
      <c r="F4" s="12"/>
      <c r="G4" s="12"/>
      <c r="H4" s="13"/>
      <c r="I4" s="14"/>
      <c r="J4" s="2"/>
      <c r="K4" s="3"/>
      <c r="L4" s="3"/>
      <c r="M4" s="3"/>
      <c r="N4" s="3"/>
      <c r="O4" s="3"/>
      <c r="P4" s="3"/>
      <c r="Q4" s="3"/>
      <c r="R4" s="3"/>
    </row>
    <row r="5" spans="1:18" ht="18.75" x14ac:dyDescent="0.3">
      <c r="A5" s="15" t="s">
        <v>0</v>
      </c>
      <c r="B5" s="15"/>
      <c r="C5" s="3"/>
      <c r="D5" s="3"/>
      <c r="E5" s="3"/>
      <c r="F5" s="3"/>
      <c r="G5" s="3"/>
      <c r="H5" s="3"/>
      <c r="I5" s="2"/>
      <c r="J5" s="2"/>
      <c r="K5" s="3"/>
      <c r="L5" s="3"/>
      <c r="M5" s="3"/>
      <c r="N5" s="3"/>
      <c r="O5" s="3"/>
      <c r="P5" s="3"/>
      <c r="Q5" s="3"/>
      <c r="R5" s="3"/>
    </row>
    <row r="6" spans="1:18" ht="18.75" customHeight="1" x14ac:dyDescent="0.3">
      <c r="A6" s="16"/>
      <c r="B6" s="17" t="s">
        <v>1</v>
      </c>
      <c r="C6" s="17" t="s">
        <v>2</v>
      </c>
      <c r="D6" s="3"/>
      <c r="E6" s="3"/>
      <c r="F6" s="3"/>
      <c r="G6" s="3"/>
      <c r="H6" s="3"/>
      <c r="I6" s="2"/>
      <c r="J6" s="2"/>
      <c r="K6" s="3"/>
      <c r="L6" s="3"/>
      <c r="M6" s="3"/>
      <c r="N6" s="3"/>
      <c r="O6" s="3"/>
      <c r="P6" s="3"/>
      <c r="Q6" s="3"/>
      <c r="R6" s="3"/>
    </row>
    <row r="7" spans="1:18" x14ac:dyDescent="0.25">
      <c r="A7" s="18" t="s">
        <v>3</v>
      </c>
      <c r="B7" s="19">
        <v>3</v>
      </c>
      <c r="C7" s="19">
        <f>B7*100/C3</f>
        <v>7.6923076923076925</v>
      </c>
      <c r="D7" s="3"/>
      <c r="E7" s="3"/>
      <c r="F7" s="2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A8" s="18" t="s">
        <v>4</v>
      </c>
      <c r="B8" s="19">
        <v>31</v>
      </c>
      <c r="C8" s="19">
        <f>B8*100/C3</f>
        <v>79.487179487179489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18" t="s">
        <v>5</v>
      </c>
      <c r="B9" s="19">
        <v>2</v>
      </c>
      <c r="C9" s="19">
        <f>B9*100/C3</f>
        <v>5.1282051282051286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18" t="s">
        <v>6</v>
      </c>
      <c r="B10" s="19">
        <v>3</v>
      </c>
      <c r="C10" s="19">
        <f>B10*100/C3</f>
        <v>7.6923076923076925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5">
      <c r="A11" s="21" t="s">
        <v>7</v>
      </c>
      <c r="B11" s="22">
        <v>0</v>
      </c>
      <c r="C11" s="22">
        <f>B11*100/C3</f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3" t="s">
        <v>8</v>
      </c>
      <c r="B12" s="24">
        <f>SUM(B7:B11)</f>
        <v>39</v>
      </c>
      <c r="C12" s="24">
        <f>SUM(C7:C11)</f>
        <v>100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.75" x14ac:dyDescent="0.25">
      <c r="A14" s="25" t="s">
        <v>9</v>
      </c>
      <c r="B14" s="2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5">
      <c r="A15" s="16" t="s">
        <v>10</v>
      </c>
      <c r="B15" s="16" t="s">
        <v>1</v>
      </c>
      <c r="C15" s="16" t="s">
        <v>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s="18" t="s">
        <v>11</v>
      </c>
      <c r="B16" s="19">
        <v>25</v>
      </c>
      <c r="C16" s="19">
        <f>B16*100/C3</f>
        <v>64.102564102564102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1" t="s">
        <v>12</v>
      </c>
      <c r="B17" s="22">
        <v>14</v>
      </c>
      <c r="C17" s="22">
        <f>B17*100/C3</f>
        <v>35.897435897435898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3" t="s">
        <v>8</v>
      </c>
      <c r="B18" s="24">
        <f>SUM(B16:B17)</f>
        <v>39</v>
      </c>
      <c r="C18" s="24">
        <f>SUM(C16:C17)</f>
        <v>100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ht="15.75" x14ac:dyDescent="0.25">
      <c r="A20" s="26" t="s">
        <v>13</v>
      </c>
      <c r="B20" s="26"/>
      <c r="C20" s="26"/>
      <c r="D20" s="26"/>
      <c r="E20" s="26"/>
      <c r="F20" s="26"/>
      <c r="G20" s="2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7" t="s">
        <v>14</v>
      </c>
      <c r="B21" s="27" t="s">
        <v>15</v>
      </c>
      <c r="C21" s="27" t="s">
        <v>2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8" t="s">
        <v>16</v>
      </c>
      <c r="B22" s="24">
        <v>38</v>
      </c>
      <c r="C22" s="24">
        <f>B22*100/C3</f>
        <v>97.435897435897431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8" t="s">
        <v>17</v>
      </c>
      <c r="B23" s="24">
        <v>27</v>
      </c>
      <c r="C23" s="24">
        <f>B23*100/C3</f>
        <v>69.230769230769226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8" t="s">
        <v>18</v>
      </c>
      <c r="B24" s="24">
        <v>13</v>
      </c>
      <c r="C24" s="24">
        <f>B24*100/C3</f>
        <v>33.333333333333336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8" t="s">
        <v>19</v>
      </c>
      <c r="B25" s="24">
        <v>0</v>
      </c>
      <c r="C25" s="24">
        <f>B25*100/C3</f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8" t="s">
        <v>20</v>
      </c>
      <c r="B26" s="24">
        <v>0</v>
      </c>
      <c r="C26" s="24">
        <f>B26*100/C3</f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25">
      <c r="A27" s="28" t="s">
        <v>21</v>
      </c>
      <c r="B27" s="24">
        <v>0</v>
      </c>
      <c r="C27" s="24">
        <f>B27*100/C3</f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25">
      <c r="A28" s="29" t="s">
        <v>22</v>
      </c>
      <c r="B28" s="24">
        <f>AVERAGE(B22:B27)</f>
        <v>13</v>
      </c>
      <c r="C28" s="24">
        <f>AVERAGE(C22:C27)</f>
        <v>33.333333333333336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5.75" x14ac:dyDescent="0.25">
      <c r="A30" s="30" t="s">
        <v>71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"/>
      <c r="O30" s="3"/>
      <c r="P30" s="3"/>
      <c r="Q30" s="3"/>
      <c r="R30" s="3"/>
    </row>
    <row r="31" spans="1:18" x14ac:dyDescent="0.25">
      <c r="A31" s="27" t="s">
        <v>10</v>
      </c>
      <c r="B31" s="27" t="s">
        <v>1</v>
      </c>
      <c r="C31" s="27" t="s">
        <v>2</v>
      </c>
      <c r="D31" s="3"/>
      <c r="E31" s="3"/>
      <c r="F31" s="3"/>
      <c r="G31" s="3"/>
      <c r="H31" s="3"/>
      <c r="I31" s="31"/>
      <c r="J31" s="31"/>
      <c r="K31" s="3"/>
      <c r="L31" s="3"/>
      <c r="M31" s="3"/>
      <c r="N31" s="3"/>
      <c r="O31" s="3"/>
      <c r="P31" s="3"/>
      <c r="Q31" s="3"/>
      <c r="R31" s="3"/>
    </row>
    <row r="32" spans="1:18" x14ac:dyDescent="0.25">
      <c r="A32" s="28" t="s">
        <v>23</v>
      </c>
      <c r="B32" s="24">
        <v>18</v>
      </c>
      <c r="C32" s="24">
        <f>B32*100/C3</f>
        <v>46.153846153846153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25">
      <c r="A33" s="28" t="s">
        <v>24</v>
      </c>
      <c r="B33" s="24">
        <v>11</v>
      </c>
      <c r="C33" s="24">
        <f>B33*100/C3</f>
        <v>28.205128205128204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25">
      <c r="A34" s="28" t="s">
        <v>25</v>
      </c>
      <c r="B34" s="24">
        <v>8</v>
      </c>
      <c r="C34" s="24">
        <f>B34*100/C3</f>
        <v>20.512820512820515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25">
      <c r="A35" s="28" t="s">
        <v>26</v>
      </c>
      <c r="B35" s="24">
        <v>2</v>
      </c>
      <c r="C35" s="24">
        <f>B35*100/C3</f>
        <v>5.1282051282051286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3" t="s">
        <v>8</v>
      </c>
      <c r="B36" s="24">
        <f>SUM(B32:B35)</f>
        <v>39</v>
      </c>
      <c r="C36" s="24">
        <f>SUM(C32:C35)</f>
        <v>100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5.75" x14ac:dyDescent="0.25">
      <c r="A38" s="32" t="s">
        <v>27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"/>
      <c r="M38" s="3"/>
      <c r="N38" s="3"/>
      <c r="O38" s="3"/>
      <c r="P38" s="3"/>
      <c r="Q38" s="3"/>
      <c r="R38" s="3"/>
    </row>
    <row r="39" spans="1:18" x14ac:dyDescent="0.25">
      <c r="A39" s="27" t="s">
        <v>10</v>
      </c>
      <c r="B39" s="27" t="s">
        <v>1</v>
      </c>
      <c r="C39" s="27" t="s">
        <v>2</v>
      </c>
      <c r="D39" s="3"/>
      <c r="E39" s="3"/>
      <c r="F39" s="3"/>
      <c r="G39" s="3"/>
      <c r="H39" s="3"/>
      <c r="I39" s="3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8" t="s">
        <v>28</v>
      </c>
      <c r="B40" s="24">
        <v>9</v>
      </c>
      <c r="C40" s="24">
        <f>B40*100/C3</f>
        <v>23.076923076923077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8" t="s">
        <v>29</v>
      </c>
      <c r="B41" s="24">
        <v>5</v>
      </c>
      <c r="C41" s="24">
        <f>B41*100/C3</f>
        <v>12.820512820512821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25">
      <c r="A42" s="28" t="s">
        <v>30</v>
      </c>
      <c r="B42" s="24">
        <v>7</v>
      </c>
      <c r="C42" s="24">
        <f>B42*100/C3</f>
        <v>17.948717948717949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25">
      <c r="A43" s="28" t="s">
        <v>31</v>
      </c>
      <c r="B43" s="24">
        <v>14</v>
      </c>
      <c r="C43" s="24">
        <f>B43*100/C3</f>
        <v>35.897435897435898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25">
      <c r="A44" s="28" t="s">
        <v>32</v>
      </c>
      <c r="B44" s="24">
        <v>6</v>
      </c>
      <c r="C44" s="24">
        <f>B44*100/C3</f>
        <v>15.384615384615385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25">
      <c r="A45" s="28" t="s">
        <v>33</v>
      </c>
      <c r="B45" s="24">
        <v>13</v>
      </c>
      <c r="C45" s="24">
        <f>B45*100/C3</f>
        <v>33.333333333333336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25">
      <c r="A46" s="28" t="s">
        <v>34</v>
      </c>
      <c r="B46" s="24">
        <v>9</v>
      </c>
      <c r="C46" s="24">
        <f>B46*100/C3</f>
        <v>23.076923076923077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5.75" x14ac:dyDescent="0.25">
      <c r="A48" s="26" t="s">
        <v>35</v>
      </c>
      <c r="B48" s="26"/>
      <c r="C48" s="26"/>
      <c r="D48" s="26"/>
      <c r="E48" s="26"/>
      <c r="F48" s="26"/>
      <c r="G48" s="26"/>
      <c r="H48" s="26"/>
      <c r="I48" s="26"/>
      <c r="J48" s="26"/>
      <c r="K48" s="3"/>
      <c r="L48" s="3"/>
      <c r="M48" s="3"/>
      <c r="N48" s="3"/>
      <c r="O48" s="3"/>
      <c r="P48" s="3"/>
      <c r="Q48" s="3"/>
      <c r="R48" s="3"/>
    </row>
    <row r="49" spans="1:18" ht="15.75" x14ac:dyDescent="0.25">
      <c r="A49" s="34" t="s">
        <v>10</v>
      </c>
      <c r="B49" s="35"/>
      <c r="C49" s="35"/>
      <c r="D49" s="36" t="s">
        <v>1</v>
      </c>
      <c r="E49" s="27" t="s">
        <v>2</v>
      </c>
      <c r="F49" s="37"/>
      <c r="G49" s="37"/>
      <c r="H49" s="37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25">
      <c r="A50" s="38" t="s">
        <v>36</v>
      </c>
      <c r="B50" s="38"/>
      <c r="C50" s="38"/>
      <c r="D50" s="39">
        <v>3</v>
      </c>
      <c r="E50" s="24">
        <f>D50*100/C3</f>
        <v>7.6923076923076925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25">
      <c r="A51" s="40" t="s">
        <v>37</v>
      </c>
      <c r="B51" s="40"/>
      <c r="C51" s="40"/>
      <c r="D51" s="39">
        <v>6</v>
      </c>
      <c r="E51" s="24">
        <f>D51*100/C3</f>
        <v>15.384615384615385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25">
      <c r="A52" s="38" t="s">
        <v>38</v>
      </c>
      <c r="B52" s="38"/>
      <c r="C52" s="38"/>
      <c r="D52" s="39">
        <v>9</v>
      </c>
      <c r="E52" s="24">
        <f>D52*100/C3</f>
        <v>23.076923076923077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25">
      <c r="A53" s="38" t="s">
        <v>39</v>
      </c>
      <c r="B53" s="38"/>
      <c r="C53" s="38"/>
      <c r="D53" s="24">
        <v>21</v>
      </c>
      <c r="E53" s="24">
        <f>D53*100/C3</f>
        <v>53.846153846153847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25">
      <c r="A54" s="41" t="s">
        <v>8</v>
      </c>
      <c r="B54" s="42"/>
      <c r="C54" s="42"/>
      <c r="D54" s="24">
        <f>SUM(D50:D53)</f>
        <v>39</v>
      </c>
      <c r="E54" s="24">
        <f>SUM(E50:E53)</f>
        <v>100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5.75" x14ac:dyDescent="0.25">
      <c r="A56" s="26" t="s">
        <v>40</v>
      </c>
      <c r="B56" s="26"/>
      <c r="C56" s="26"/>
      <c r="D56" s="26"/>
      <c r="E56" s="26"/>
      <c r="F56" s="26"/>
      <c r="G56" s="26"/>
      <c r="H56" s="26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5.75" x14ac:dyDescent="0.25">
      <c r="A57" s="27" t="s">
        <v>41</v>
      </c>
      <c r="B57" s="27" t="s">
        <v>1</v>
      </c>
      <c r="C57" s="27" t="s">
        <v>2</v>
      </c>
      <c r="D57" s="3"/>
      <c r="E57" s="3"/>
      <c r="F57" s="3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25">
      <c r="A58" s="43">
        <v>1</v>
      </c>
      <c r="B58" s="24">
        <v>19</v>
      </c>
      <c r="C58" s="24">
        <f>B58*100/C3</f>
        <v>48.717948717948715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25">
      <c r="A59" s="43">
        <v>2</v>
      </c>
      <c r="B59" s="24">
        <v>7</v>
      </c>
      <c r="C59" s="24">
        <f>B59*100/C3</f>
        <v>17.948717948717949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25">
      <c r="A60" s="43">
        <v>3</v>
      </c>
      <c r="B60" s="24">
        <v>6</v>
      </c>
      <c r="C60" s="24">
        <f>B60*100/C3</f>
        <v>15.384615384615385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25">
      <c r="A61" s="43">
        <v>4</v>
      </c>
      <c r="B61" s="24">
        <v>6</v>
      </c>
      <c r="C61" s="24">
        <f>B61*100/C3</f>
        <v>15.384615384615385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25">
      <c r="A62" s="43">
        <v>5</v>
      </c>
      <c r="B62" s="24">
        <v>1</v>
      </c>
      <c r="C62" s="24">
        <f>B62*100/C3</f>
        <v>2.5641025641025643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25">
      <c r="A63" s="23" t="s">
        <v>8</v>
      </c>
      <c r="B63" s="24">
        <f>SUM(B58:B62)</f>
        <v>39</v>
      </c>
      <c r="C63" s="24">
        <f>SUM(C58:C62)</f>
        <v>100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5.75" x14ac:dyDescent="0.25">
      <c r="A65" s="26" t="s">
        <v>42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3"/>
      <c r="O65" s="3"/>
      <c r="P65" s="3"/>
      <c r="Q65" s="3"/>
      <c r="R65" s="3"/>
    </row>
    <row r="66" spans="1:18" ht="15.75" x14ac:dyDescent="0.25">
      <c r="A66" s="27" t="s">
        <v>43</v>
      </c>
      <c r="B66" s="27" t="s">
        <v>1</v>
      </c>
      <c r="C66" s="27" t="s">
        <v>2</v>
      </c>
      <c r="D66" s="3"/>
      <c r="E66" s="3"/>
      <c r="F66" s="44"/>
      <c r="G66" s="44"/>
      <c r="H66" s="44"/>
      <c r="I66" s="44"/>
      <c r="J66" s="44"/>
      <c r="K66" s="3"/>
      <c r="L66" s="3"/>
      <c r="M66" s="3"/>
      <c r="N66" s="3"/>
      <c r="O66" s="3"/>
      <c r="P66" s="3"/>
      <c r="Q66" s="3"/>
      <c r="R66" s="3"/>
    </row>
    <row r="67" spans="1:18" x14ac:dyDescent="0.25">
      <c r="A67" s="28">
        <v>1</v>
      </c>
      <c r="B67" s="24">
        <v>14</v>
      </c>
      <c r="C67" s="24">
        <f>B67*100/C3</f>
        <v>35.897435897435898</v>
      </c>
      <c r="D67" s="3"/>
      <c r="E67" s="3"/>
      <c r="F67" s="3"/>
      <c r="G67" s="3"/>
      <c r="H67" s="3"/>
      <c r="I67" s="45"/>
      <c r="J67" s="45"/>
      <c r="K67" s="3"/>
      <c r="L67" s="3"/>
      <c r="M67" s="3"/>
      <c r="N67" s="3"/>
      <c r="O67" s="3"/>
      <c r="P67" s="3"/>
      <c r="Q67" s="3"/>
      <c r="R67" s="3"/>
    </row>
    <row r="68" spans="1:18" x14ac:dyDescent="0.25">
      <c r="A68" s="28">
        <v>2</v>
      </c>
      <c r="B68" s="24">
        <v>7</v>
      </c>
      <c r="C68" s="24">
        <f>B68*100/C3</f>
        <v>17.948717948717949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25">
      <c r="A69" s="28">
        <v>3</v>
      </c>
      <c r="B69" s="24">
        <v>11</v>
      </c>
      <c r="C69" s="24">
        <f>B69*100/C3</f>
        <v>28.205128205128204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25">
      <c r="A70" s="28">
        <v>4</v>
      </c>
      <c r="B70" s="24">
        <v>3</v>
      </c>
      <c r="C70" s="24">
        <f>B70*100/C3</f>
        <v>7.6923076923076925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25">
      <c r="A71" s="28">
        <v>5</v>
      </c>
      <c r="B71" s="24">
        <v>4</v>
      </c>
      <c r="C71" s="24">
        <f>B71*100/C3</f>
        <v>10.256410256410257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25">
      <c r="A72" s="23" t="s">
        <v>8</v>
      </c>
      <c r="B72" s="24">
        <f>SUM(B67:B71)</f>
        <v>39</v>
      </c>
      <c r="C72" s="24">
        <f>SUM(C67:C71)</f>
        <v>100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5.75" x14ac:dyDescent="0.25">
      <c r="A74" s="26" t="s">
        <v>44</v>
      </c>
      <c r="B74" s="26"/>
      <c r="C74" s="26"/>
      <c r="D74" s="26"/>
      <c r="E74" s="26"/>
      <c r="F74" s="26"/>
      <c r="G74" s="26"/>
      <c r="H74" s="26"/>
      <c r="I74" s="26"/>
      <c r="J74" s="3"/>
      <c r="K74" s="3"/>
      <c r="L74" s="3"/>
      <c r="M74" s="3"/>
      <c r="N74" s="3"/>
      <c r="O74" s="3"/>
      <c r="P74" s="3"/>
      <c r="Q74" s="3"/>
      <c r="R74" s="3"/>
    </row>
    <row r="75" spans="1:18" ht="15.75" x14ac:dyDescent="0.25">
      <c r="A75" s="27" t="s">
        <v>10</v>
      </c>
      <c r="B75" s="27" t="s">
        <v>1</v>
      </c>
      <c r="C75" s="27" t="s">
        <v>2</v>
      </c>
      <c r="D75" s="3"/>
      <c r="E75" s="3"/>
      <c r="F75" s="37"/>
      <c r="G75" s="37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25">
      <c r="A76" s="28">
        <v>1</v>
      </c>
      <c r="B76" s="24">
        <v>6</v>
      </c>
      <c r="C76" s="24">
        <f>B76*100/C3</f>
        <v>15.384615384615385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25">
      <c r="A77" s="28">
        <v>2</v>
      </c>
      <c r="B77" s="24">
        <v>3</v>
      </c>
      <c r="C77" s="24">
        <f>B77*100/C3</f>
        <v>7.6923076923076925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25">
      <c r="A78" s="28">
        <v>3</v>
      </c>
      <c r="B78" s="24">
        <v>4</v>
      </c>
      <c r="C78" s="24">
        <f>B78*100/C3</f>
        <v>10.256410256410257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25">
      <c r="A79" s="28">
        <v>4</v>
      </c>
      <c r="B79" s="24">
        <v>8</v>
      </c>
      <c r="C79" s="24">
        <f>B79*100/C3</f>
        <v>20.512820512820515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25">
      <c r="A80" s="28">
        <v>5</v>
      </c>
      <c r="B80" s="24">
        <v>18</v>
      </c>
      <c r="C80" s="24">
        <f>B80*100/C3</f>
        <v>46.153846153846153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25">
      <c r="A81" s="23" t="s">
        <v>8</v>
      </c>
      <c r="B81" s="24">
        <f>SUM(B76:B80)</f>
        <v>39</v>
      </c>
      <c r="C81" s="24">
        <f>SUM(C76:C80)</f>
        <v>100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5.75" x14ac:dyDescent="0.25">
      <c r="A83" s="26" t="s">
        <v>45</v>
      </c>
      <c r="B83" s="26"/>
      <c r="C83" s="26"/>
      <c r="D83" s="26"/>
      <c r="E83" s="26"/>
      <c r="F83" s="26"/>
      <c r="G83" s="26"/>
      <c r="H83" s="26"/>
      <c r="I83" s="26"/>
      <c r="J83" s="26"/>
      <c r="K83" s="3"/>
      <c r="L83" s="3"/>
      <c r="M83" s="3"/>
      <c r="N83" s="3"/>
      <c r="O83" s="3"/>
      <c r="P83" s="3"/>
      <c r="Q83" s="3"/>
      <c r="R83" s="3"/>
    </row>
    <row r="84" spans="1:18" ht="15.75" x14ac:dyDescent="0.25">
      <c r="A84" s="27" t="s">
        <v>10</v>
      </c>
      <c r="B84" s="27" t="s">
        <v>1</v>
      </c>
      <c r="C84" s="27" t="s">
        <v>2</v>
      </c>
      <c r="D84" s="3"/>
      <c r="E84" s="3"/>
      <c r="F84" s="37"/>
      <c r="G84" s="37"/>
      <c r="H84" s="37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25">
      <c r="A85" s="28" t="s">
        <v>46</v>
      </c>
      <c r="B85" s="24">
        <v>21</v>
      </c>
      <c r="C85" s="24">
        <f>B85*100/C3</f>
        <v>53.846153846153847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25">
      <c r="A86" s="28" t="s">
        <v>39</v>
      </c>
      <c r="B86" s="24">
        <v>18</v>
      </c>
      <c r="C86" s="24">
        <f>B86*100/C3</f>
        <v>46.153846153846153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25">
      <c r="A87" s="46" t="s">
        <v>8</v>
      </c>
      <c r="B87" s="24">
        <f>SUM(B85:B86)</f>
        <v>39</v>
      </c>
      <c r="C87" s="24">
        <f>SUM(C85:C86)</f>
        <v>100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5.75" x14ac:dyDescent="0.25">
      <c r="A89" s="26" t="s">
        <v>47</v>
      </c>
      <c r="B89" s="26"/>
      <c r="C89" s="26"/>
      <c r="D89" s="26"/>
      <c r="E89" s="26"/>
      <c r="F89" s="26"/>
      <c r="G89" s="26"/>
      <c r="H89" s="26"/>
      <c r="I89" s="26"/>
      <c r="J89" s="26"/>
      <c r="K89" s="3"/>
      <c r="L89" s="3"/>
      <c r="M89" s="3"/>
      <c r="N89" s="3"/>
      <c r="O89" s="3"/>
      <c r="P89" s="3"/>
      <c r="Q89" s="3"/>
      <c r="R89" s="3"/>
    </row>
    <row r="90" spans="1:18" ht="15.75" x14ac:dyDescent="0.25">
      <c r="A90" s="34" t="s">
        <v>43</v>
      </c>
      <c r="B90" s="35"/>
      <c r="C90" s="27" t="s">
        <v>1</v>
      </c>
      <c r="D90" s="27" t="s">
        <v>2</v>
      </c>
      <c r="E90" s="3"/>
      <c r="F90" s="37"/>
      <c r="G90" s="37"/>
      <c r="H90" s="37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25">
      <c r="A91" s="38" t="s">
        <v>48</v>
      </c>
      <c r="B91" s="38"/>
      <c r="C91" s="24">
        <v>26</v>
      </c>
      <c r="D91" s="24">
        <f>C91*100/C3</f>
        <v>66.666666666666671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x14ac:dyDescent="0.25">
      <c r="A92" s="38" t="s">
        <v>49</v>
      </c>
      <c r="B92" s="38"/>
      <c r="C92" s="24">
        <v>17</v>
      </c>
      <c r="D92" s="24">
        <f>C92*100/C3</f>
        <v>43.589743589743591</v>
      </c>
      <c r="E92" s="3"/>
      <c r="F92" s="3"/>
      <c r="G92" s="3"/>
      <c r="H92" s="3"/>
      <c r="I92" s="47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25">
      <c r="A93" s="38" t="s">
        <v>50</v>
      </c>
      <c r="B93" s="38"/>
      <c r="C93" s="24">
        <v>9</v>
      </c>
      <c r="D93" s="24">
        <f>C93*100/C3</f>
        <v>23.076923076923077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25">
      <c r="A94" s="38" t="s">
        <v>51</v>
      </c>
      <c r="B94" s="38"/>
      <c r="C94" s="24">
        <v>9</v>
      </c>
      <c r="D94" s="24">
        <f>C94*100/C3</f>
        <v>23.076923076923077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25">
      <c r="A95" s="38" t="s">
        <v>52</v>
      </c>
      <c r="B95" s="38"/>
      <c r="C95" s="24">
        <v>1</v>
      </c>
      <c r="D95" s="24">
        <f>C95*100/C3</f>
        <v>2.5641025641025643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25">
      <c r="A96" s="38" t="s">
        <v>53</v>
      </c>
      <c r="B96" s="38"/>
      <c r="C96" s="24">
        <v>1</v>
      </c>
      <c r="D96" s="24">
        <f>C96*100/C3</f>
        <v>2.5641025641025643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25">
      <c r="A97" s="38" t="s">
        <v>54</v>
      </c>
      <c r="B97" s="38"/>
      <c r="C97" s="24">
        <v>1</v>
      </c>
      <c r="D97" s="24">
        <f>C97*100/C3</f>
        <v>2.5641025641025643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5.75" x14ac:dyDescent="0.25">
      <c r="A99" s="48" t="s">
        <v>55</v>
      </c>
      <c r="B99" s="48"/>
      <c r="C99" s="48"/>
      <c r="D99" s="48"/>
      <c r="E99" s="48"/>
      <c r="F99" s="48"/>
      <c r="G99" s="48"/>
      <c r="H99" s="48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5.75" x14ac:dyDescent="0.25">
      <c r="A100" s="27" t="s">
        <v>10</v>
      </c>
      <c r="B100" s="27" t="s">
        <v>1</v>
      </c>
      <c r="C100" s="27" t="s">
        <v>2</v>
      </c>
      <c r="D100" s="3"/>
      <c r="E100" s="49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5.75" x14ac:dyDescent="0.25">
      <c r="A101" s="28" t="s">
        <v>56</v>
      </c>
      <c r="B101" s="24">
        <v>3</v>
      </c>
      <c r="C101" s="24">
        <f>B101*100/C3</f>
        <v>7.6923076923076925</v>
      </c>
      <c r="D101" s="3"/>
      <c r="E101" s="3"/>
      <c r="F101" s="49"/>
      <c r="G101" s="49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x14ac:dyDescent="0.25">
      <c r="A102" s="28" t="s">
        <v>57</v>
      </c>
      <c r="B102" s="24">
        <v>5</v>
      </c>
      <c r="C102" s="24">
        <f>B102*100/C3</f>
        <v>12.820512820512821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25">
      <c r="A103" s="28" t="s">
        <v>58</v>
      </c>
      <c r="B103" s="24">
        <v>23</v>
      </c>
      <c r="C103" s="24">
        <f>B103*100/C3</f>
        <v>58.974358974358971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x14ac:dyDescent="0.25">
      <c r="A104" s="28" t="s">
        <v>24</v>
      </c>
      <c r="B104" s="24">
        <v>6</v>
      </c>
      <c r="C104" s="24">
        <f>B104*100/C3</f>
        <v>15.384615384615385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25">
      <c r="A105" s="50" t="s">
        <v>23</v>
      </c>
      <c r="B105" s="51">
        <v>2</v>
      </c>
      <c r="C105" s="51">
        <f>B105*100/C3</f>
        <v>5.1282051282051286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x14ac:dyDescent="0.25">
      <c r="A106" s="46" t="s">
        <v>8</v>
      </c>
      <c r="B106" s="24">
        <f>SUM(B101:B105)</f>
        <v>39</v>
      </c>
      <c r="C106" s="24">
        <f>SUM(C101:C105)</f>
        <v>100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5.75" x14ac:dyDescent="0.25">
      <c r="A108" s="26" t="s">
        <v>72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</row>
    <row r="109" spans="1:18" ht="15.75" x14ac:dyDescent="0.25">
      <c r="A109" s="27" t="s">
        <v>59</v>
      </c>
      <c r="B109" s="27" t="s">
        <v>1</v>
      </c>
      <c r="C109" s="27" t="s">
        <v>2</v>
      </c>
      <c r="D109" s="3"/>
      <c r="E109" s="37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5.75" x14ac:dyDescent="0.25">
      <c r="A110" s="28">
        <v>1</v>
      </c>
      <c r="B110" s="24">
        <v>2</v>
      </c>
      <c r="C110" s="24">
        <f>B110*100/C3</f>
        <v>5.1282051282051286</v>
      </c>
      <c r="D110" s="3"/>
      <c r="E110" s="3"/>
      <c r="F110" s="37"/>
      <c r="G110" s="37"/>
      <c r="H110" s="37"/>
      <c r="I110" s="44"/>
      <c r="J110" s="44"/>
      <c r="K110" s="44"/>
      <c r="L110" s="44"/>
      <c r="M110" s="44"/>
      <c r="N110" s="44"/>
      <c r="O110" s="3"/>
      <c r="P110" s="3"/>
      <c r="Q110" s="3"/>
      <c r="R110" s="3"/>
    </row>
    <row r="111" spans="1:18" x14ac:dyDescent="0.25">
      <c r="A111" s="28">
        <v>2</v>
      </c>
      <c r="B111" s="24">
        <v>2</v>
      </c>
      <c r="C111" s="24">
        <f>B111*100/C3</f>
        <v>5.1282051282051286</v>
      </c>
      <c r="D111" s="3"/>
      <c r="E111" s="3"/>
      <c r="F111" s="3"/>
      <c r="G111" s="3"/>
      <c r="H111" s="3"/>
      <c r="I111" s="47"/>
      <c r="J111" s="47"/>
      <c r="K111" s="47"/>
      <c r="L111" s="47"/>
      <c r="M111" s="47"/>
      <c r="N111" s="47"/>
      <c r="O111" s="47"/>
      <c r="P111" s="47"/>
      <c r="Q111" s="47"/>
      <c r="R111" s="3"/>
    </row>
    <row r="112" spans="1:18" x14ac:dyDescent="0.25">
      <c r="A112" s="28">
        <v>3</v>
      </c>
      <c r="B112" s="24">
        <v>7</v>
      </c>
      <c r="C112" s="24">
        <f>B112*100/C3</f>
        <v>17.948717948717949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25">
      <c r="A113" s="28">
        <v>4</v>
      </c>
      <c r="B113" s="24">
        <v>8</v>
      </c>
      <c r="C113" s="24">
        <f>B113*100/C3</f>
        <v>20.512820512820515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x14ac:dyDescent="0.25">
      <c r="A114" s="28">
        <v>5</v>
      </c>
      <c r="B114" s="24">
        <v>20</v>
      </c>
      <c r="C114" s="24">
        <f>B114*100/C3</f>
        <v>51.282051282051285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25">
      <c r="A115" s="46" t="s">
        <v>8</v>
      </c>
      <c r="B115" s="24">
        <f>SUM(B110:B114)</f>
        <v>39</v>
      </c>
      <c r="C115" s="24">
        <f>SUM(C110:C114)</f>
        <v>100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5.75" x14ac:dyDescent="0.25">
      <c r="A117" s="26" t="s">
        <v>60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3"/>
      <c r="M117" s="3"/>
      <c r="N117" s="3"/>
      <c r="O117" s="3"/>
      <c r="P117" s="3"/>
      <c r="Q117" s="3"/>
      <c r="R117" s="3"/>
    </row>
    <row r="118" spans="1:18" ht="15.75" x14ac:dyDescent="0.25">
      <c r="A118" s="27" t="s">
        <v>43</v>
      </c>
      <c r="B118" s="27" t="s">
        <v>1</v>
      </c>
      <c r="C118" s="27" t="s">
        <v>2</v>
      </c>
      <c r="D118" s="3"/>
      <c r="E118" s="49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5.75" x14ac:dyDescent="0.25">
      <c r="A119" s="28" t="s">
        <v>46</v>
      </c>
      <c r="B119" s="24">
        <v>24</v>
      </c>
      <c r="C119" s="24">
        <f>B119*100/C3</f>
        <v>61.53846153846154</v>
      </c>
      <c r="D119" s="3"/>
      <c r="E119" s="3"/>
      <c r="F119" s="49"/>
      <c r="G119" s="49"/>
      <c r="H119" s="49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x14ac:dyDescent="0.25">
      <c r="A120" s="28" t="s">
        <v>39</v>
      </c>
      <c r="B120" s="24">
        <v>0</v>
      </c>
      <c r="C120" s="24">
        <f>B120*100/C3</f>
        <v>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25">
      <c r="A121" s="28" t="s">
        <v>61</v>
      </c>
      <c r="B121" s="24">
        <v>15</v>
      </c>
      <c r="C121" s="24">
        <f>B121*100/C3</f>
        <v>38.46153846153846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x14ac:dyDescent="0.25">
      <c r="A122" s="46" t="s">
        <v>8</v>
      </c>
      <c r="B122" s="24">
        <f>SUM(B119:B121)</f>
        <v>39</v>
      </c>
      <c r="C122" s="24">
        <f>SUM(C119:C121)</f>
        <v>100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5.75" x14ac:dyDescent="0.25">
      <c r="A124" s="26" t="s">
        <v>62</v>
      </c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3"/>
      <c r="N124" s="3"/>
      <c r="O124" s="3"/>
      <c r="P124" s="3"/>
      <c r="Q124" s="3"/>
      <c r="R124" s="3"/>
    </row>
    <row r="125" spans="1:18" ht="15.75" x14ac:dyDescent="0.25">
      <c r="A125" s="52" t="s">
        <v>10</v>
      </c>
      <c r="B125" s="52" t="s">
        <v>1</v>
      </c>
      <c r="C125" s="52" t="s">
        <v>2</v>
      </c>
      <c r="D125" s="3"/>
      <c r="E125" s="37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5.75" x14ac:dyDescent="0.25">
      <c r="A126" s="28">
        <v>1</v>
      </c>
      <c r="B126" s="24">
        <v>4</v>
      </c>
      <c r="C126" s="24">
        <f>B126*100/C3</f>
        <v>10.256410256410257</v>
      </c>
      <c r="D126" s="3"/>
      <c r="E126" s="3"/>
      <c r="F126" s="37"/>
      <c r="G126" s="37"/>
      <c r="H126" s="37"/>
      <c r="I126" s="37"/>
      <c r="J126" s="37"/>
      <c r="K126" s="37"/>
      <c r="L126" s="3"/>
      <c r="M126" s="3"/>
      <c r="N126" s="3"/>
      <c r="O126" s="3"/>
      <c r="P126" s="3"/>
      <c r="Q126" s="3"/>
      <c r="R126" s="3"/>
    </row>
    <row r="127" spans="1:18" x14ac:dyDescent="0.25">
      <c r="A127" s="28">
        <v>2</v>
      </c>
      <c r="B127" s="24">
        <v>6</v>
      </c>
      <c r="C127" s="24">
        <f>B127*100/C3</f>
        <v>15.384615384615385</v>
      </c>
      <c r="D127" s="3"/>
      <c r="E127" s="3"/>
      <c r="F127" s="3"/>
      <c r="G127" s="3"/>
      <c r="H127" s="3"/>
      <c r="I127" s="45"/>
      <c r="J127" s="3"/>
      <c r="K127" s="3"/>
      <c r="L127" s="3"/>
      <c r="M127" s="3"/>
      <c r="N127" s="3"/>
      <c r="O127" s="3"/>
      <c r="P127" s="3"/>
      <c r="Q127" s="3"/>
      <c r="R127" s="3"/>
    </row>
    <row r="128" spans="1:18" x14ac:dyDescent="0.25">
      <c r="A128" s="28">
        <v>3</v>
      </c>
      <c r="B128" s="24">
        <v>15</v>
      </c>
      <c r="C128" s="24">
        <f>B128*100/C3</f>
        <v>38.46153846153846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25">
      <c r="A129" s="28">
        <v>4</v>
      </c>
      <c r="B129" s="24">
        <v>8</v>
      </c>
      <c r="C129" s="24">
        <f>B129*100/C3</f>
        <v>20.512820512820515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x14ac:dyDescent="0.25">
      <c r="A130" s="28">
        <v>5</v>
      </c>
      <c r="B130" s="24">
        <v>6</v>
      </c>
      <c r="C130" s="24">
        <f>B130*100/C3</f>
        <v>15.384615384615385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25">
      <c r="A131" s="46" t="s">
        <v>8</v>
      </c>
      <c r="B131" s="24">
        <f>SUM(B126:B130)</f>
        <v>39</v>
      </c>
      <c r="C131" s="24">
        <f>SUM(C126:C130)</f>
        <v>100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5.75" x14ac:dyDescent="0.25">
      <c r="A133" s="26" t="s">
        <v>63</v>
      </c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3"/>
      <c r="N133" s="3"/>
      <c r="O133" s="3"/>
      <c r="P133" s="3"/>
      <c r="Q133" s="3"/>
      <c r="R133" s="3"/>
    </row>
    <row r="134" spans="1:18" ht="15.75" x14ac:dyDescent="0.25">
      <c r="A134" s="52" t="s">
        <v>10</v>
      </c>
      <c r="B134" s="52" t="s">
        <v>1</v>
      </c>
      <c r="C134" s="52" t="s">
        <v>2</v>
      </c>
      <c r="D134" s="3"/>
      <c r="E134" s="37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5.75" x14ac:dyDescent="0.25">
      <c r="A135" s="28" t="s">
        <v>46</v>
      </c>
      <c r="B135" s="24">
        <v>29</v>
      </c>
      <c r="C135" s="24">
        <f>B135*100/C3</f>
        <v>74.358974358974365</v>
      </c>
      <c r="D135" s="3"/>
      <c r="E135" s="3"/>
      <c r="F135" s="37"/>
      <c r="G135" s="37"/>
      <c r="H135" s="37"/>
      <c r="I135" s="37"/>
      <c r="J135" s="37"/>
      <c r="K135" s="3"/>
      <c r="L135" s="3"/>
      <c r="M135" s="3"/>
      <c r="N135" s="3"/>
      <c r="O135" s="3"/>
      <c r="P135" s="3"/>
      <c r="Q135" s="3"/>
      <c r="R135" s="3"/>
    </row>
    <row r="136" spans="1:18" x14ac:dyDescent="0.25">
      <c r="A136" s="28" t="s">
        <v>39</v>
      </c>
      <c r="B136" s="24">
        <v>5</v>
      </c>
      <c r="C136" s="24">
        <f>B136*100/C3</f>
        <v>12.820512820512821</v>
      </c>
      <c r="D136" s="3"/>
      <c r="E136" s="3"/>
      <c r="F136" s="3"/>
      <c r="G136" s="3"/>
      <c r="H136" s="3"/>
      <c r="I136" s="45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25">
      <c r="A137" s="28" t="s">
        <v>61</v>
      </c>
      <c r="B137" s="24">
        <v>5</v>
      </c>
      <c r="C137" s="24">
        <f>B137*100/C3</f>
        <v>12.820512820512821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25">
      <c r="A138" s="53" t="s">
        <v>8</v>
      </c>
      <c r="B138" s="24">
        <f>SUM(B135:B137)</f>
        <v>39</v>
      </c>
      <c r="C138" s="24">
        <f>SUM(C135:C137)</f>
        <v>100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5.75" x14ac:dyDescent="0.25">
      <c r="A140" s="26" t="s">
        <v>64</v>
      </c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3"/>
      <c r="M140" s="3"/>
      <c r="N140" s="3"/>
      <c r="O140" s="3"/>
      <c r="P140" s="3"/>
      <c r="Q140" s="3"/>
      <c r="R140" s="3"/>
    </row>
    <row r="141" spans="1:18" ht="15.75" x14ac:dyDescent="0.25">
      <c r="A141" s="52" t="s">
        <v>10</v>
      </c>
      <c r="B141" s="52" t="s">
        <v>1</v>
      </c>
      <c r="C141" s="52" t="s">
        <v>2</v>
      </c>
      <c r="D141" s="3"/>
      <c r="E141" s="37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5.75" x14ac:dyDescent="0.25">
      <c r="A142" s="28" t="s">
        <v>65</v>
      </c>
      <c r="B142" s="24">
        <v>11</v>
      </c>
      <c r="C142" s="24">
        <f>B142*100/C3</f>
        <v>28.205128205128204</v>
      </c>
      <c r="D142" s="3"/>
      <c r="E142" s="3"/>
      <c r="F142" s="37"/>
      <c r="G142" s="37"/>
      <c r="H142" s="37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25">
      <c r="A143" s="28" t="s">
        <v>39</v>
      </c>
      <c r="B143" s="24">
        <v>11</v>
      </c>
      <c r="C143" s="24">
        <f>B143*100/C3</f>
        <v>28.205128205128204</v>
      </c>
      <c r="D143" s="3"/>
      <c r="E143" s="3"/>
      <c r="F143" s="3"/>
      <c r="G143" s="3"/>
      <c r="H143" s="3"/>
      <c r="I143" s="47"/>
      <c r="J143" s="3"/>
      <c r="K143" s="3"/>
      <c r="L143" s="3"/>
      <c r="M143" s="3"/>
      <c r="N143" s="3"/>
      <c r="O143" s="3"/>
      <c r="P143" s="3"/>
      <c r="Q143" s="3"/>
      <c r="R143" s="3"/>
    </row>
    <row r="144" spans="1:18" x14ac:dyDescent="0.25">
      <c r="A144" s="28" t="s">
        <v>58</v>
      </c>
      <c r="B144" s="24">
        <v>17</v>
      </c>
      <c r="C144" s="24">
        <f>B144*100/C3</f>
        <v>43.589743589743591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25">
      <c r="A145" s="46" t="s">
        <v>8</v>
      </c>
      <c r="B145" s="24">
        <f>SUM(B142:B144)</f>
        <v>39</v>
      </c>
      <c r="C145" s="24">
        <f>SUM(C142:C144)</f>
        <v>100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5.75" x14ac:dyDescent="0.25">
      <c r="A147" s="26" t="s">
        <v>66</v>
      </c>
      <c r="B147" s="26"/>
      <c r="C147" s="26"/>
      <c r="D147" s="26"/>
      <c r="E147" s="26"/>
      <c r="F147" s="26"/>
      <c r="G147" s="26"/>
      <c r="H147" s="26"/>
      <c r="I147" s="26"/>
      <c r="J147" s="26"/>
      <c r="K147" s="3"/>
      <c r="L147" s="3"/>
      <c r="M147" s="3"/>
      <c r="N147" s="3"/>
      <c r="O147" s="3"/>
      <c r="P147" s="3"/>
      <c r="Q147" s="3"/>
      <c r="R147" s="3"/>
    </row>
    <row r="148" spans="1:18" ht="15.75" x14ac:dyDescent="0.25">
      <c r="A148" s="52" t="s">
        <v>10</v>
      </c>
      <c r="B148" s="52" t="s">
        <v>1</v>
      </c>
      <c r="C148" s="52" t="s">
        <v>2</v>
      </c>
      <c r="D148" s="3"/>
      <c r="E148" s="37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5.75" x14ac:dyDescent="0.25">
      <c r="A149" s="28" t="s">
        <v>67</v>
      </c>
      <c r="B149" s="24">
        <v>24</v>
      </c>
      <c r="C149" s="24">
        <f>B149*100/C3</f>
        <v>61.53846153846154</v>
      </c>
      <c r="D149" s="3"/>
      <c r="E149" s="3"/>
      <c r="F149" s="37"/>
      <c r="G149" s="37"/>
      <c r="H149" s="37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25">
      <c r="A150" s="28" t="s">
        <v>68</v>
      </c>
      <c r="B150" s="24">
        <v>27</v>
      </c>
      <c r="C150" s="24">
        <f>B150*100/C3</f>
        <v>69.230769230769226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25">
      <c r="A151" s="29" t="s">
        <v>22</v>
      </c>
      <c r="B151" s="24">
        <f>AVERAGE(B149:B150)</f>
        <v>25.5</v>
      </c>
      <c r="C151" s="24">
        <f>AVERAGE(C149:C150)</f>
        <v>65.384615384615387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</sheetData>
  <mergeCells count="33">
    <mergeCell ref="A147:J147"/>
    <mergeCell ref="A108:R108"/>
    <mergeCell ref="A124:L124"/>
    <mergeCell ref="A117:K117"/>
    <mergeCell ref="A133:L133"/>
    <mergeCell ref="A140:K140"/>
    <mergeCell ref="A56:H56"/>
    <mergeCell ref="A65:M65"/>
    <mergeCell ref="A74:I74"/>
    <mergeCell ref="A83:J83"/>
    <mergeCell ref="A89:J89"/>
    <mergeCell ref="A90:B90"/>
    <mergeCell ref="A91:B91"/>
    <mergeCell ref="A92:B92"/>
    <mergeCell ref="A93:B93"/>
    <mergeCell ref="A94:B94"/>
    <mergeCell ref="A95:B95"/>
    <mergeCell ref="A96:B96"/>
    <mergeCell ref="A97:B97"/>
    <mergeCell ref="A54:C54"/>
    <mergeCell ref="A1:H1"/>
    <mergeCell ref="A53:C53"/>
    <mergeCell ref="A49:C49"/>
    <mergeCell ref="A50:C50"/>
    <mergeCell ref="A51:C51"/>
    <mergeCell ref="A52:C52"/>
    <mergeCell ref="A3:B3"/>
    <mergeCell ref="A5:B5"/>
    <mergeCell ref="A14:B14"/>
    <mergeCell ref="A20:G20"/>
    <mergeCell ref="A30:M30"/>
    <mergeCell ref="A38:K38"/>
    <mergeCell ref="A48:J4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ghani_amajid@outlook.com</cp:lastModifiedBy>
  <cp:revision/>
  <dcterms:created xsi:type="dcterms:W3CDTF">2025-11-02T05:57:16Z</dcterms:created>
  <dcterms:modified xsi:type="dcterms:W3CDTF">2025-11-04T15:58:16Z</dcterms:modified>
  <cp:category/>
  <cp:contentStatus/>
</cp:coreProperties>
</file>